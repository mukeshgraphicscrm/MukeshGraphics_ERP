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1. BHUPATBHAI\STOCK AND BILL INFORMATION\RATE - ICE CREAM\22-12-2025  PRICE LIST 2026\"/>
    </mc:Choice>
  </mc:AlternateContent>
  <xr:revisionPtr revIDLastSave="0" documentId="13_ncr:1_{23FBC594-F5C4-45F0-BF21-D7C53C5FB44A}" xr6:coauthVersionLast="47" xr6:coauthVersionMax="47" xr10:uidLastSave="{00000000-0000-0000-0000-000000000000}"/>
  <bookViews>
    <workbookView xWindow="-120" yWindow="-120" windowWidth="29040" windowHeight="15840" tabRatio="304" xr2:uid="{1BC8EC45-3635-419B-A5DB-B63EB4475AA4}"/>
  </bookViews>
  <sheets>
    <sheet name="LID RATE " sheetId="1" r:id="rId1"/>
  </sheet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3" i="1" l="1"/>
  <c r="P43" i="1" s="1"/>
  <c r="I23" i="1"/>
  <c r="I24" i="1" s="1"/>
  <c r="I25" i="1" s="1"/>
  <c r="I26" i="1" s="1"/>
  <c r="I27" i="1" s="1"/>
  <c r="I28" i="1" s="1"/>
  <c r="I29" i="1" s="1"/>
  <c r="I30" i="1" s="1"/>
  <c r="D26" i="1"/>
  <c r="D36" i="1"/>
  <c r="AZ43" i="1"/>
  <c r="AV43" i="1"/>
  <c r="AR43" i="1"/>
  <c r="AN43" i="1"/>
  <c r="AJ43" i="1"/>
  <c r="AF43" i="1"/>
  <c r="X43" i="1"/>
  <c r="AB43" i="1" s="1"/>
  <c r="T43" i="1"/>
  <c r="AG20" i="1"/>
  <c r="BA20" i="1" s="1"/>
  <c r="AS20" i="1"/>
  <c r="AO20" i="1"/>
  <c r="AK20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6" i="1"/>
  <c r="BB37" i="1"/>
  <c r="BB38" i="1"/>
  <c r="BB39" i="1"/>
  <c r="BB40" i="1"/>
  <c r="BB41" i="1"/>
  <c r="BB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22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23" i="1"/>
  <c r="V24" i="1"/>
  <c r="V25" i="1"/>
  <c r="V26" i="1"/>
  <c r="V27" i="1"/>
  <c r="V28" i="1"/>
  <c r="V22" i="1"/>
  <c r="R30" i="1"/>
  <c r="R31" i="1"/>
  <c r="R32" i="1"/>
  <c r="R33" i="1"/>
  <c r="R34" i="1"/>
  <c r="R35" i="1"/>
  <c r="R36" i="1"/>
  <c r="R37" i="1"/>
  <c r="R38" i="1"/>
  <c r="R39" i="1"/>
  <c r="R40" i="1"/>
  <c r="R41" i="1"/>
  <c r="R23" i="1"/>
  <c r="R24" i="1"/>
  <c r="R25" i="1"/>
  <c r="R26" i="1"/>
  <c r="R27" i="1"/>
  <c r="R28" i="1"/>
  <c r="R29" i="1"/>
  <c r="R22" i="1"/>
  <c r="E23" i="1"/>
  <c r="E24" i="1" s="1"/>
  <c r="E25" i="1" s="1"/>
  <c r="E26" i="1" s="1"/>
  <c r="E27" i="1" s="1"/>
  <c r="E28" i="1" s="1"/>
  <c r="E29" i="1" s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D27" i="1"/>
  <c r="D40" i="1"/>
  <c r="D41" i="1"/>
  <c r="D39" i="1"/>
  <c r="D37" i="1"/>
  <c r="D38" i="1"/>
  <c r="D35" i="1"/>
  <c r="D34" i="1"/>
  <c r="D33" i="1"/>
  <c r="D32" i="1"/>
  <c r="D31" i="1"/>
  <c r="D30" i="1"/>
  <c r="D29" i="1"/>
  <c r="D28" i="1"/>
  <c r="D25" i="1"/>
  <c r="C19" i="1"/>
  <c r="C20" i="1" s="1"/>
  <c r="C30" i="1" s="1"/>
  <c r="AW20" i="1" l="1"/>
  <c r="E30" i="1"/>
  <c r="H30" i="1" s="1"/>
  <c r="C40" i="1"/>
  <c r="C41" i="1"/>
  <c r="C22" i="1"/>
  <c r="C35" i="1"/>
  <c r="C31" i="1"/>
  <c r="C32" i="1"/>
  <c r="C33" i="1"/>
  <c r="C34" i="1"/>
  <c r="C23" i="1"/>
  <c r="H23" i="1" s="1"/>
  <c r="J23" i="1" s="1"/>
  <c r="C24" i="1"/>
  <c r="C36" i="1"/>
  <c r="C25" i="1"/>
  <c r="H25" i="1" s="1"/>
  <c r="C37" i="1"/>
  <c r="C26" i="1"/>
  <c r="H26" i="1" s="1"/>
  <c r="C38" i="1"/>
  <c r="C27" i="1"/>
  <c r="H27" i="1" s="1"/>
  <c r="C39" i="1"/>
  <c r="C28" i="1"/>
  <c r="H28" i="1" s="1"/>
  <c r="C29" i="1"/>
  <c r="H29" i="1" s="1"/>
  <c r="AZ23" i="1" l="1"/>
  <c r="AN23" i="1"/>
  <c r="AR23" i="1"/>
  <c r="AV23" i="1"/>
  <c r="AJ23" i="1"/>
  <c r="AF23" i="1"/>
  <c r="L23" i="1"/>
  <c r="AB23" i="1"/>
  <c r="T23" i="1"/>
  <c r="X23" i="1"/>
  <c r="P23" i="1"/>
  <c r="H22" i="1"/>
  <c r="J22" i="1" s="1"/>
  <c r="H24" i="1"/>
  <c r="J24" i="1" s="1"/>
  <c r="E31" i="1"/>
  <c r="E32" i="1" s="1"/>
  <c r="H31" i="1"/>
  <c r="J25" i="1"/>
  <c r="H32" i="1" l="1"/>
  <c r="E33" i="1"/>
  <c r="AJ22" i="1"/>
  <c r="AN22" i="1"/>
  <c r="AR22" i="1"/>
  <c r="AV22" i="1"/>
  <c r="AZ22" i="1"/>
  <c r="AF22" i="1"/>
  <c r="AF25" i="1"/>
  <c r="AJ25" i="1"/>
  <c r="AZ25" i="1"/>
  <c r="AN25" i="1"/>
  <c r="AV25" i="1"/>
  <c r="AR25" i="1"/>
  <c r="AV24" i="1"/>
  <c r="AJ24" i="1"/>
  <c r="AZ24" i="1"/>
  <c r="AN24" i="1"/>
  <c r="AR24" i="1"/>
  <c r="AF24" i="1"/>
  <c r="L24" i="1"/>
  <c r="P24" i="1"/>
  <c r="AB24" i="1"/>
  <c r="T24" i="1"/>
  <c r="X24" i="1"/>
  <c r="T22" i="1"/>
  <c r="X22" i="1"/>
  <c r="P22" i="1"/>
  <c r="AB22" i="1"/>
  <c r="L25" i="1"/>
  <c r="P25" i="1"/>
  <c r="T25" i="1"/>
  <c r="AB25" i="1"/>
  <c r="X25" i="1"/>
  <c r="H33" i="1"/>
  <c r="J26" i="1"/>
  <c r="AN26" i="1" l="1"/>
  <c r="AF26" i="1"/>
  <c r="AZ26" i="1"/>
  <c r="AR26" i="1"/>
  <c r="AJ26" i="1"/>
  <c r="AV26" i="1"/>
  <c r="L26" i="1"/>
  <c r="X26" i="1"/>
  <c r="AB26" i="1"/>
  <c r="P26" i="1"/>
  <c r="T26" i="1"/>
  <c r="E34" i="1"/>
  <c r="H34" i="1" s="1"/>
  <c r="J27" i="1"/>
  <c r="AR27" i="1" l="1"/>
  <c r="AJ27" i="1"/>
  <c r="AZ27" i="1"/>
  <c r="AN27" i="1"/>
  <c r="AV27" i="1"/>
  <c r="AF27" i="1"/>
  <c r="L27" i="1"/>
  <c r="X27" i="1"/>
  <c r="AB27" i="1"/>
  <c r="P27" i="1"/>
  <c r="T27" i="1"/>
  <c r="E35" i="1"/>
  <c r="J28" i="1"/>
  <c r="H35" i="1" l="1"/>
  <c r="E36" i="1"/>
  <c r="AZ28" i="1"/>
  <c r="AN28" i="1"/>
  <c r="AR28" i="1"/>
  <c r="AV28" i="1"/>
  <c r="AF28" i="1"/>
  <c r="AJ28" i="1"/>
  <c r="L28" i="1"/>
  <c r="X28" i="1"/>
  <c r="AB28" i="1"/>
  <c r="P28" i="1"/>
  <c r="T28" i="1"/>
  <c r="J29" i="1"/>
  <c r="E37" i="1" l="1"/>
  <c r="H36" i="1"/>
  <c r="AF29" i="1"/>
  <c r="AR29" i="1"/>
  <c r="AV29" i="1"/>
  <c r="AJ29" i="1"/>
  <c r="AZ29" i="1"/>
  <c r="AN29" i="1"/>
  <c r="L29" i="1"/>
  <c r="X29" i="1"/>
  <c r="AB29" i="1"/>
  <c r="P29" i="1"/>
  <c r="T29" i="1"/>
  <c r="J30" i="1"/>
  <c r="I31" i="1"/>
  <c r="I32" i="1" s="1"/>
  <c r="I33" i="1" s="1"/>
  <c r="I34" i="1" s="1"/>
  <c r="I35" i="1" s="1"/>
  <c r="E38" i="1" l="1"/>
  <c r="H37" i="1"/>
  <c r="AR30" i="1"/>
  <c r="AF30" i="1"/>
  <c r="AZ30" i="1"/>
  <c r="AN30" i="1"/>
  <c r="AJ30" i="1"/>
  <c r="AV30" i="1"/>
  <c r="L30" i="1"/>
  <c r="T30" i="1"/>
  <c r="X30" i="1"/>
  <c r="AB30" i="1"/>
  <c r="P30" i="1"/>
  <c r="J31" i="1"/>
  <c r="E39" i="1" l="1"/>
  <c r="H38" i="1"/>
  <c r="AZ31" i="1"/>
  <c r="AR31" i="1"/>
  <c r="AF31" i="1"/>
  <c r="AJ31" i="1"/>
  <c r="AV31" i="1"/>
  <c r="AN31" i="1"/>
  <c r="L31" i="1"/>
  <c r="T31" i="1"/>
  <c r="X31" i="1"/>
  <c r="AB31" i="1"/>
  <c r="P31" i="1"/>
  <c r="J32" i="1"/>
  <c r="E40" i="1" l="1"/>
  <c r="H39" i="1"/>
  <c r="AR32" i="1"/>
  <c r="AF32" i="1"/>
  <c r="AV32" i="1"/>
  <c r="AZ32" i="1"/>
  <c r="AN32" i="1"/>
  <c r="AJ32" i="1"/>
  <c r="L32" i="1"/>
  <c r="T32" i="1"/>
  <c r="X32" i="1"/>
  <c r="AB32" i="1"/>
  <c r="P32" i="1"/>
  <c r="J33" i="1"/>
  <c r="E41" i="1" l="1"/>
  <c r="H41" i="1" s="1"/>
  <c r="H40" i="1"/>
  <c r="AJ33" i="1"/>
  <c r="AR33" i="1"/>
  <c r="AV33" i="1"/>
  <c r="AZ33" i="1"/>
  <c r="AN33" i="1"/>
  <c r="AF33" i="1"/>
  <c r="L33" i="1"/>
  <c r="T33" i="1"/>
  <c r="AB33" i="1"/>
  <c r="P33" i="1"/>
  <c r="X33" i="1"/>
  <c r="J34" i="1"/>
  <c r="AV34" i="1" l="1"/>
  <c r="AZ34" i="1"/>
  <c r="AN34" i="1"/>
  <c r="AF34" i="1"/>
  <c r="AJ34" i="1"/>
  <c r="AR34" i="1"/>
  <c r="L34" i="1"/>
  <c r="T34" i="1"/>
  <c r="AB34" i="1"/>
  <c r="P34" i="1"/>
  <c r="X34" i="1"/>
  <c r="I36" i="1"/>
  <c r="J36" i="1" s="1"/>
  <c r="J35" i="1"/>
  <c r="AV35" i="1" l="1"/>
  <c r="AJ35" i="1"/>
  <c r="AN35" i="1"/>
  <c r="AR35" i="1"/>
  <c r="AF35" i="1"/>
  <c r="AZ35" i="1"/>
  <c r="L35" i="1"/>
  <c r="P35" i="1"/>
  <c r="T35" i="1"/>
  <c r="X35" i="1"/>
  <c r="AB35" i="1"/>
  <c r="I37" i="1"/>
  <c r="AV36" i="1" l="1"/>
  <c r="AJ36" i="1"/>
  <c r="AF36" i="1"/>
  <c r="AN36" i="1"/>
  <c r="AR36" i="1"/>
  <c r="AZ36" i="1"/>
  <c r="L36" i="1"/>
  <c r="P36" i="1"/>
  <c r="T36" i="1"/>
  <c r="X36" i="1"/>
  <c r="AB36" i="1"/>
  <c r="J37" i="1"/>
  <c r="I38" i="1"/>
  <c r="AZ37" i="1" l="1"/>
  <c r="AN37" i="1"/>
  <c r="AR37" i="1"/>
  <c r="AJ37" i="1"/>
  <c r="AF37" i="1"/>
  <c r="AV37" i="1"/>
  <c r="L37" i="1"/>
  <c r="AB37" i="1"/>
  <c r="P37" i="1"/>
  <c r="X37" i="1"/>
  <c r="T37" i="1"/>
  <c r="J38" i="1"/>
  <c r="I39" i="1"/>
  <c r="AZ38" i="1" l="1"/>
  <c r="AR38" i="1"/>
  <c r="AN38" i="1"/>
  <c r="AF38" i="1"/>
  <c r="AV38" i="1"/>
  <c r="AJ38" i="1"/>
  <c r="L38" i="1"/>
  <c r="X38" i="1"/>
  <c r="AB38" i="1"/>
  <c r="P38" i="1"/>
  <c r="T38" i="1"/>
  <c r="I40" i="1"/>
  <c r="J39" i="1"/>
  <c r="AF39" i="1" l="1"/>
  <c r="AZ39" i="1"/>
  <c r="AN39" i="1"/>
  <c r="AR39" i="1"/>
  <c r="AJ39" i="1"/>
  <c r="AV39" i="1"/>
  <c r="L39" i="1"/>
  <c r="X39" i="1"/>
  <c r="AB39" i="1"/>
  <c r="P39" i="1"/>
  <c r="T39" i="1"/>
  <c r="I41" i="1"/>
  <c r="J41" i="1" s="1"/>
  <c r="J40" i="1"/>
  <c r="L22" i="1"/>
  <c r="AR41" i="1" l="1"/>
  <c r="AF41" i="1"/>
  <c r="AZ41" i="1"/>
  <c r="AV41" i="1"/>
  <c r="AJ41" i="1"/>
  <c r="AN41" i="1"/>
  <c r="AZ40" i="1"/>
  <c r="AN40" i="1"/>
  <c r="AF40" i="1"/>
  <c r="AJ40" i="1"/>
  <c r="AR40" i="1"/>
  <c r="AV40" i="1"/>
  <c r="L40" i="1"/>
  <c r="X40" i="1"/>
  <c r="AB40" i="1"/>
  <c r="P40" i="1"/>
  <c r="T40" i="1"/>
  <c r="L41" i="1"/>
  <c r="X41" i="1"/>
  <c r="AB41" i="1"/>
  <c r="P41" i="1"/>
  <c r="T41" i="1"/>
</calcChain>
</file>

<file path=xl/sharedStrings.xml><?xml version="1.0" encoding="utf-8"?>
<sst xmlns="http://schemas.openxmlformats.org/spreadsheetml/2006/main" count="64" uniqueCount="35">
  <si>
    <t xml:space="preserve">QTY. </t>
  </si>
  <si>
    <t xml:space="preserve">RATE </t>
  </si>
  <si>
    <t xml:space="preserve">71mm </t>
  </si>
  <si>
    <t>58mm</t>
  </si>
  <si>
    <t>54mm</t>
  </si>
  <si>
    <t>52mm</t>
  </si>
  <si>
    <t>45mm</t>
  </si>
  <si>
    <t xml:space="preserve">FINAL RATE </t>
  </si>
  <si>
    <t>QTY.</t>
  </si>
  <si>
    <t xml:space="preserve">61mm </t>
  </si>
  <si>
    <t xml:space="preserve">58mm </t>
  </si>
  <si>
    <t xml:space="preserve">47mm </t>
  </si>
  <si>
    <t>RATE</t>
  </si>
  <si>
    <t>59mm</t>
  </si>
  <si>
    <t xml:space="preserve">72mm </t>
  </si>
  <si>
    <t xml:space="preserve">59mm </t>
  </si>
  <si>
    <t>47mm</t>
  </si>
  <si>
    <t>72mm</t>
  </si>
  <si>
    <t>AMOUNT</t>
  </si>
  <si>
    <t xml:space="preserve">JOB SIZE </t>
  </si>
  <si>
    <t xml:space="preserve">PAPER Wt. </t>
  </si>
  <si>
    <t>PR</t>
  </si>
  <si>
    <t>FBB</t>
  </si>
  <si>
    <t>43mm</t>
  </si>
  <si>
    <t>INCH</t>
  </si>
  <si>
    <t>QUALITY</t>
  </si>
  <si>
    <t>PAPER GMS</t>
  </si>
  <si>
    <t>PRINTING</t>
  </si>
  <si>
    <t>PANCHING</t>
  </si>
  <si>
    <t>52 &amp; 51mm</t>
  </si>
  <si>
    <t xml:space="preserve">FRIGHT </t>
  </si>
  <si>
    <t>CARTOON CHARGE PER 1000</t>
  </si>
  <si>
    <t xml:space="preserve">LID PAKING </t>
  </si>
  <si>
    <t xml:space="preserve">FOR SMALL LID </t>
  </si>
  <si>
    <t>FBB LID RATE 09-05-2026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</si>
</sst>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sz val="17"/>
      <color theme="1"/>
      <name val="Calibri Light"/>
      <family val="2"/>
      <scheme val="major"/>
    </font>
    <font>
      <b/>
      <sz val="17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6" fillId="0" borderId="0" xfId="0" applyFont="1"/>
    <xf numFmtId="0" fontId="4" fillId="0" borderId="0" xfId="0" quotePrefix="1" applyFont="1"/>
    <xf numFmtId="0" fontId="6" fillId="0" borderId="0" xfId="0" applyFont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1" borderId="0" xfId="0" applyFont="1" applyFill="1"/>
    <xf numFmtId="1" fontId="4" fillId="9" borderId="1" xfId="0" applyNumberFormat="1" applyFont="1" applyFill="1" applyBorder="1" applyAlignment="1">
      <alignment horizontal="center" vertical="center"/>
    </xf>
    <xf numFmtId="0" fontId="4" fillId="13" borderId="0" xfId="0" applyFont="1" applyFill="1"/>
    <xf numFmtId="164" fontId="4" fillId="13" borderId="1" xfId="0" applyNumberFormat="1" applyFont="1" applyFill="1" applyBorder="1" applyAlignment="1">
      <alignment horizontal="center" vertical="center"/>
    </xf>
    <xf numFmtId="164" fontId="4" fillId="13" borderId="1" xfId="1" applyNumberFormat="1" applyFont="1" applyFill="1" applyBorder="1" applyAlignment="1">
      <alignment horizontal="center" vertical="center"/>
    </xf>
    <xf numFmtId="164" fontId="4" fillId="13" borderId="2" xfId="0" applyNumberFormat="1" applyFont="1" applyFill="1" applyBorder="1" applyAlignment="1">
      <alignment horizontal="center" vertical="center"/>
    </xf>
    <xf numFmtId="2" fontId="4" fillId="13" borderId="3" xfId="0" applyNumberFormat="1" applyFont="1" applyFill="1" applyBorder="1" applyAlignment="1">
      <alignment horizontal="center" vertical="center"/>
    </xf>
    <xf numFmtId="164" fontId="4" fillId="11" borderId="1" xfId="0" applyNumberFormat="1" applyFont="1" applyFill="1" applyBorder="1" applyAlignment="1">
      <alignment horizontal="center" vertical="center"/>
    </xf>
    <xf numFmtId="164" fontId="4" fillId="11" borderId="1" xfId="1" applyNumberFormat="1" applyFont="1" applyFill="1" applyBorder="1" applyAlignment="1">
      <alignment horizontal="center" vertical="center"/>
    </xf>
    <xf numFmtId="164" fontId="4" fillId="11" borderId="2" xfId="0" applyNumberFormat="1" applyFont="1" applyFill="1" applyBorder="1" applyAlignment="1">
      <alignment horizontal="center" vertical="center"/>
    </xf>
    <xf numFmtId="2" fontId="4" fillId="11" borderId="3" xfId="0" applyNumberFormat="1" applyFont="1" applyFill="1" applyBorder="1" applyAlignment="1">
      <alignment horizontal="center" vertical="center"/>
    </xf>
    <xf numFmtId="0" fontId="6" fillId="11" borderId="0" xfId="0" applyFont="1" applyFill="1"/>
    <xf numFmtId="0" fontId="0" fillId="0" borderId="0" xfId="0" quotePrefix="1"/>
    <xf numFmtId="0" fontId="0" fillId="0" borderId="0" xfId="0" applyAlignment="1">
      <alignment horizontal="center"/>
    </xf>
    <xf numFmtId="1" fontId="4" fillId="9" borderId="14" xfId="0" applyNumberFormat="1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4" fillId="10" borderId="15" xfId="0" applyFont="1" applyFill="1" applyBorder="1" applyAlignment="1">
      <alignment horizontal="center" vertical="center"/>
    </xf>
    <xf numFmtId="1" fontId="5" fillId="13" borderId="15" xfId="0" applyNumberFormat="1" applyFont="1" applyFill="1" applyBorder="1" applyAlignment="1">
      <alignment horizontal="center" vertical="center"/>
    </xf>
    <xf numFmtId="1" fontId="5" fillId="11" borderId="15" xfId="0" applyNumberFormat="1" applyFont="1" applyFill="1" applyBorder="1" applyAlignment="1">
      <alignment horizontal="center" vertical="center"/>
    </xf>
    <xf numFmtId="1" fontId="5" fillId="11" borderId="19" xfId="0" applyNumberFormat="1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165" fontId="4" fillId="9" borderId="15" xfId="0" applyNumberFormat="1" applyFont="1" applyFill="1" applyBorder="1" applyAlignment="1">
      <alignment horizontal="center" vertical="center"/>
    </xf>
    <xf numFmtId="1" fontId="4" fillId="9" borderId="15" xfId="0" applyNumberFormat="1" applyFont="1" applyFill="1" applyBorder="1" applyAlignment="1">
      <alignment horizontal="center" vertical="center"/>
    </xf>
    <xf numFmtId="2" fontId="6" fillId="15" borderId="3" xfId="0" applyNumberFormat="1" applyFont="1" applyFill="1" applyBorder="1" applyAlignment="1">
      <alignment horizontal="center" vertical="center"/>
    </xf>
    <xf numFmtId="2" fontId="4" fillId="10" borderId="21" xfId="0" applyNumberFormat="1" applyFont="1" applyFill="1" applyBorder="1" applyAlignment="1">
      <alignment horizontal="center" vertical="center"/>
    </xf>
    <xf numFmtId="0" fontId="4" fillId="10" borderId="22" xfId="0" applyFont="1" applyFill="1" applyBorder="1" applyAlignment="1">
      <alignment horizontal="center" vertical="center"/>
    </xf>
    <xf numFmtId="164" fontId="4" fillId="13" borderId="14" xfId="0" applyNumberFormat="1" applyFont="1" applyFill="1" applyBorder="1" applyAlignment="1">
      <alignment horizontal="center" vertical="center"/>
    </xf>
    <xf numFmtId="164" fontId="4" fillId="13" borderId="23" xfId="0" applyNumberFormat="1" applyFont="1" applyFill="1" applyBorder="1" applyAlignment="1">
      <alignment vertical="center"/>
    </xf>
    <xf numFmtId="164" fontId="4" fillId="11" borderId="14" xfId="0" applyNumberFormat="1" applyFont="1" applyFill="1" applyBorder="1" applyAlignment="1">
      <alignment horizontal="center" vertical="center"/>
    </xf>
    <xf numFmtId="164" fontId="4" fillId="11" borderId="23" xfId="0" applyNumberFormat="1" applyFont="1" applyFill="1" applyBorder="1" applyAlignment="1">
      <alignment vertical="center"/>
    </xf>
    <xf numFmtId="164" fontId="4" fillId="11" borderId="24" xfId="0" applyNumberFormat="1" applyFont="1" applyFill="1" applyBorder="1" applyAlignment="1">
      <alignment horizontal="center" vertical="center"/>
    </xf>
    <xf numFmtId="164" fontId="4" fillId="11" borderId="25" xfId="1" applyNumberFormat="1" applyFont="1" applyFill="1" applyBorder="1" applyAlignment="1">
      <alignment horizontal="center" vertical="center"/>
    </xf>
    <xf numFmtId="164" fontId="4" fillId="11" borderId="25" xfId="0" applyNumberFormat="1" applyFont="1" applyFill="1" applyBorder="1" applyAlignment="1">
      <alignment horizontal="center" vertical="center"/>
    </xf>
    <xf numFmtId="164" fontId="4" fillId="11" borderId="26" xfId="0" applyNumberFormat="1" applyFont="1" applyFill="1" applyBorder="1" applyAlignment="1">
      <alignment horizontal="center" vertical="center"/>
    </xf>
    <xf numFmtId="2" fontId="4" fillId="11" borderId="26" xfId="0" applyNumberFormat="1" applyFont="1" applyFill="1" applyBorder="1" applyAlignment="1">
      <alignment horizontal="center" vertical="center"/>
    </xf>
    <xf numFmtId="164" fontId="4" fillId="11" borderId="19" xfId="0" applyNumberFormat="1" applyFont="1" applyFill="1" applyBorder="1" applyAlignment="1">
      <alignment vertical="center"/>
    </xf>
    <xf numFmtId="0" fontId="4" fillId="0" borderId="27" xfId="0" applyFont="1" applyBorder="1"/>
    <xf numFmtId="0" fontId="4" fillId="2" borderId="14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9" fillId="0" borderId="28" xfId="0" applyFont="1" applyBorder="1"/>
    <xf numFmtId="2" fontId="4" fillId="10" borderId="12" xfId="0" applyNumberFormat="1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2" fontId="4" fillId="10" borderId="4" xfId="0" applyNumberFormat="1" applyFont="1" applyFill="1" applyBorder="1" applyAlignment="1">
      <alignment horizontal="center" vertical="center"/>
    </xf>
    <xf numFmtId="2" fontId="4" fillId="10" borderId="7" xfId="0" applyNumberFormat="1" applyFont="1" applyFill="1" applyBorder="1" applyAlignment="1">
      <alignment horizontal="center" vertical="center"/>
    </xf>
    <xf numFmtId="1" fontId="4" fillId="12" borderId="1" xfId="0" applyNumberFormat="1" applyFont="1" applyFill="1" applyBorder="1" applyAlignment="1">
      <alignment horizontal="center" vertical="center"/>
    </xf>
    <xf numFmtId="14" fontId="4" fillId="0" borderId="30" xfId="0" applyNumberFormat="1" applyFont="1" applyBorder="1" applyAlignment="1">
      <alignment vertical="center"/>
    </xf>
    <xf numFmtId="14" fontId="4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27" xfId="0" applyFont="1" applyBorder="1" applyAlignment="1">
      <alignment vertical="center"/>
    </xf>
    <xf numFmtId="0" fontId="10" fillId="0" borderId="0" xfId="0" applyFont="1"/>
    <xf numFmtId="0" fontId="9" fillId="0" borderId="0" xfId="0" applyFont="1"/>
    <xf numFmtId="0" fontId="10" fillId="0" borderId="28" xfId="0" applyFont="1" applyBorder="1"/>
    <xf numFmtId="0" fontId="4" fillId="0" borderId="34" xfId="0" applyFont="1" applyBorder="1"/>
    <xf numFmtId="2" fontId="11" fillId="10" borderId="35" xfId="0" applyNumberFormat="1" applyFont="1" applyFill="1" applyBorder="1" applyAlignment="1">
      <alignment horizontal="center" vertical="center"/>
    </xf>
    <xf numFmtId="1" fontId="10" fillId="15" borderId="36" xfId="0" applyNumberFormat="1" applyFont="1" applyFill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2" fontId="6" fillId="10" borderId="38" xfId="0" applyNumberFormat="1" applyFont="1" applyFill="1" applyBorder="1" applyAlignment="1">
      <alignment horizontal="center" vertical="center"/>
    </xf>
    <xf numFmtId="2" fontId="10" fillId="15" borderId="39" xfId="0" applyNumberFormat="1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2" fontId="4" fillId="7" borderId="15" xfId="0" applyNumberFormat="1" applyFont="1" applyFill="1" applyBorder="1" applyAlignment="1">
      <alignment vertical="center"/>
    </xf>
    <xf numFmtId="2" fontId="4" fillId="7" borderId="19" xfId="0" applyNumberFormat="1" applyFont="1" applyFill="1" applyBorder="1" applyAlignment="1">
      <alignment vertical="center"/>
    </xf>
    <xf numFmtId="0" fontId="0" fillId="0" borderId="28" xfId="0" applyBorder="1"/>
    <xf numFmtId="0" fontId="4" fillId="4" borderId="20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1" fontId="5" fillId="13" borderId="16" xfId="0" applyNumberFormat="1" applyFont="1" applyFill="1" applyBorder="1" applyAlignment="1">
      <alignment horizontal="center" vertical="center"/>
    </xf>
    <xf numFmtId="1" fontId="5" fillId="13" borderId="5" xfId="0" applyNumberFormat="1" applyFont="1" applyFill="1" applyBorder="1" applyAlignment="1">
      <alignment horizontal="center" vertical="center"/>
    </xf>
    <xf numFmtId="1" fontId="5" fillId="11" borderId="16" xfId="0" applyNumberFormat="1" applyFont="1" applyFill="1" applyBorder="1" applyAlignment="1">
      <alignment horizontal="center" vertical="center"/>
    </xf>
    <xf numFmtId="1" fontId="5" fillId="11" borderId="5" xfId="0" applyNumberFormat="1" applyFont="1" applyFill="1" applyBorder="1" applyAlignment="1">
      <alignment horizontal="center" vertical="center"/>
    </xf>
    <xf numFmtId="14" fontId="2" fillId="14" borderId="9" xfId="0" applyNumberFormat="1" applyFont="1" applyFill="1" applyBorder="1" applyAlignment="1">
      <alignment horizontal="center" vertical="center"/>
    </xf>
    <xf numFmtId="14" fontId="2" fillId="14" borderId="10" xfId="0" applyNumberFormat="1" applyFont="1" applyFill="1" applyBorder="1" applyAlignment="1">
      <alignment horizontal="center" vertical="center"/>
    </xf>
    <xf numFmtId="14" fontId="2" fillId="14" borderId="11" xfId="0" applyNumberFormat="1" applyFont="1" applyFill="1" applyBorder="1" applyAlignment="1">
      <alignment horizontal="center" vertical="center"/>
    </xf>
    <xf numFmtId="14" fontId="2" fillId="14" borderId="30" xfId="0" applyNumberFormat="1" applyFont="1" applyFill="1" applyBorder="1" applyAlignment="1">
      <alignment horizontal="center" vertical="center"/>
    </xf>
    <xf numFmtId="14" fontId="2" fillId="14" borderId="0" xfId="0" applyNumberFormat="1" applyFont="1" applyFill="1" applyAlignment="1">
      <alignment horizontal="center" vertical="center"/>
    </xf>
    <xf numFmtId="14" fontId="2" fillId="14" borderId="27" xfId="0" applyNumberFormat="1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8" borderId="13" xfId="0" applyFont="1" applyFill="1" applyBorder="1" applyAlignment="1">
      <alignment horizontal="center" vertical="center"/>
    </xf>
    <xf numFmtId="0" fontId="4" fillId="10" borderId="1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1" fontId="5" fillId="11" borderId="17" xfId="0" applyNumberFormat="1" applyFont="1" applyFill="1" applyBorder="1" applyAlignment="1">
      <alignment horizontal="center" vertical="center"/>
    </xf>
    <xf numFmtId="1" fontId="5" fillId="11" borderId="18" xfId="0" applyNumberFormat="1" applyFont="1" applyFill="1" applyBorder="1" applyAlignment="1">
      <alignment horizontal="center" vertical="center"/>
    </xf>
    <xf numFmtId="2" fontId="10" fillId="12" borderId="30" xfId="0" applyNumberFormat="1" applyFont="1" applyFill="1" applyBorder="1" applyAlignment="1">
      <alignment horizontal="center" vertical="center"/>
    </xf>
    <xf numFmtId="2" fontId="10" fillId="12" borderId="0" xfId="0" applyNumberFormat="1" applyFont="1" applyFill="1" applyAlignment="1">
      <alignment horizontal="center" vertical="center"/>
    </xf>
    <xf numFmtId="2" fontId="10" fillId="12" borderId="32" xfId="0" applyNumberFormat="1" applyFont="1" applyFill="1" applyBorder="1" applyAlignment="1">
      <alignment horizontal="center" vertical="center"/>
    </xf>
    <xf numFmtId="2" fontId="10" fillId="12" borderId="28" xfId="0" applyNumberFormat="1" applyFont="1" applyFill="1" applyBorder="1" applyAlignment="1">
      <alignment horizontal="center" vertical="center"/>
    </xf>
    <xf numFmtId="0" fontId="10" fillId="12" borderId="31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0" fillId="12" borderId="32" xfId="0" applyFont="1" applyFill="1" applyBorder="1" applyAlignment="1">
      <alignment horizontal="center" vertical="center" wrapText="1"/>
    </xf>
    <xf numFmtId="0" fontId="10" fillId="12" borderId="28" xfId="0" applyFont="1" applyFill="1" applyBorder="1" applyAlignment="1">
      <alignment horizontal="center" vertical="center" wrapText="1"/>
    </xf>
    <xf numFmtId="2" fontId="10" fillId="12" borderId="29" xfId="0" applyNumberFormat="1" applyFont="1" applyFill="1" applyBorder="1" applyAlignment="1">
      <alignment horizontal="center" vertical="center"/>
    </xf>
    <xf numFmtId="2" fontId="10" fillId="12" borderId="33" xfId="0" applyNumberFormat="1" applyFont="1" applyFill="1" applyBorder="1" applyAlignment="1">
      <alignment horizontal="center" vertical="center"/>
    </xf>
    <xf numFmtId="0" fontId="0" fillId="0" borderId="30" xfId="0" applyBorder="1"/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FEA9-7266-43CA-9F29-EE8943E1E243}">
  <dimension ref="A11:BX62"/>
  <sheetViews>
    <sheetView tabSelected="1" topLeftCell="A13" zoomScale="70" zoomScaleNormal="70" workbookViewId="0">
      <selection activeCell="C19" sqref="C19"/>
    </sheetView>
  </sheetViews>
  <sheetFormatPr defaultRowHeight="30" customHeight="1" x14ac:dyDescent="0.35"/>
  <cols>
    <col min="1" max="1" width="9.140625" customWidth="1"/>
    <col min="2" max="2" width="16.85546875" style="1" customWidth="1"/>
    <col min="3" max="3" width="15.42578125" style="1" customWidth="1"/>
    <col min="4" max="4" width="19" style="1" customWidth="1"/>
    <col min="5" max="6" width="18.7109375" style="1" customWidth="1"/>
    <col min="7" max="8" width="18.140625" style="1" customWidth="1"/>
    <col min="9" max="9" width="11.5703125" style="1" customWidth="1"/>
    <col min="10" max="10" width="17.28515625" style="1" customWidth="1"/>
    <col min="11" max="11" width="4.28515625" customWidth="1"/>
    <col min="12" max="12" width="6.28515625" style="1" customWidth="1"/>
    <col min="13" max="13" width="5.85546875" style="1" customWidth="1"/>
    <col min="14" max="14" width="14.7109375" style="1" customWidth="1"/>
    <col min="15" max="15" width="2.140625" style="1" customWidth="1"/>
    <col min="16" max="16" width="5.42578125" style="1" customWidth="1"/>
    <col min="17" max="17" width="5.140625" style="1" customWidth="1"/>
    <col min="18" max="18" width="13.7109375" style="1" customWidth="1"/>
    <col min="19" max="19" width="2" style="1" customWidth="1"/>
    <col min="20" max="20" width="6" style="1" customWidth="1"/>
    <col min="21" max="21" width="5.85546875" style="1" customWidth="1"/>
    <col min="22" max="22" width="13.42578125" style="1" bestFit="1" customWidth="1"/>
    <col min="23" max="23" width="2" style="1" customWidth="1"/>
    <col min="24" max="24" width="5.5703125" style="1" customWidth="1"/>
    <col min="25" max="25" width="5.85546875" style="1" customWidth="1"/>
    <col min="26" max="26" width="13.28515625" style="1" customWidth="1"/>
    <col min="27" max="27" width="2.28515625" style="1" customWidth="1"/>
    <col min="28" max="28" width="6.140625" style="1" customWidth="1"/>
    <col min="29" max="29" width="5.85546875" style="1" customWidth="1"/>
    <col min="30" max="30" width="13.85546875" style="1" customWidth="1"/>
    <col min="31" max="31" width="1.85546875" style="1" customWidth="1"/>
    <col min="32" max="32" width="7.42578125" style="1" customWidth="1"/>
    <col min="33" max="33" width="5.7109375" style="1" customWidth="1"/>
    <col min="34" max="34" width="14.85546875" style="1" customWidth="1"/>
    <col min="35" max="35" width="1.7109375" style="1" customWidth="1"/>
    <col min="36" max="36" width="6.5703125" style="1" customWidth="1"/>
    <col min="37" max="37" width="5.140625" style="1" customWidth="1"/>
    <col min="38" max="38" width="14.42578125" style="1" customWidth="1"/>
    <col min="39" max="39" width="2" style="1" customWidth="1"/>
    <col min="40" max="40" width="6.5703125" style="1" customWidth="1"/>
    <col min="41" max="41" width="6.28515625" style="1" customWidth="1"/>
    <col min="42" max="42" width="13.42578125" style="1" bestFit="1" customWidth="1"/>
    <col min="43" max="43" width="1.7109375" style="1" customWidth="1"/>
    <col min="44" max="44" width="6.42578125" style="1" customWidth="1"/>
    <col min="45" max="45" width="5.7109375" style="1" customWidth="1"/>
    <col min="46" max="46" width="15" style="1" customWidth="1"/>
    <col min="47" max="47" width="2.42578125" style="1" customWidth="1"/>
    <col min="48" max="48" width="6.7109375" style="1" customWidth="1"/>
    <col min="49" max="49" width="5.28515625" style="1" customWidth="1"/>
    <col min="50" max="50" width="14" style="1" customWidth="1"/>
    <col min="51" max="51" width="1.7109375" style="1" customWidth="1"/>
    <col min="52" max="52" width="7.42578125" style="1" customWidth="1"/>
    <col min="53" max="53" width="5.85546875" style="1" customWidth="1"/>
    <col min="54" max="54" width="15.140625" style="1" customWidth="1"/>
    <col min="77" max="16384" width="9.140625" style="1"/>
  </cols>
  <sheetData>
    <row r="11" spans="2:54" ht="30" customHeight="1" x14ac:dyDescent="0.35">
      <c r="K11" s="21"/>
      <c r="L11" s="6"/>
      <c r="M11" s="6"/>
      <c r="N11" s="6"/>
      <c r="O11" s="6"/>
    </row>
    <row r="12" spans="2:54" ht="30" customHeight="1" thickBot="1" x14ac:dyDescent="0.4">
      <c r="L12" s="5"/>
      <c r="M12" s="5"/>
      <c r="N12" s="5"/>
      <c r="V12" s="5"/>
      <c r="W12" s="5"/>
      <c r="X12" s="5"/>
      <c r="Y12" s="5"/>
      <c r="Z12" s="5"/>
      <c r="AA12" s="5"/>
      <c r="AB12" s="7"/>
      <c r="AC12" s="7"/>
      <c r="AD12" s="7"/>
      <c r="AE12" s="7"/>
      <c r="AF12" s="7"/>
      <c r="AG12" s="7"/>
      <c r="AH12" s="7"/>
      <c r="AJ12" s="5"/>
      <c r="AK12" s="5"/>
      <c r="AL12" s="5"/>
    </row>
    <row r="13" spans="2:54" ht="30" customHeight="1" x14ac:dyDescent="0.35">
      <c r="B13" s="64"/>
      <c r="C13" s="76" t="s">
        <v>24</v>
      </c>
      <c r="D13" s="77"/>
      <c r="E13"/>
      <c r="F13"/>
      <c r="G13" s="2"/>
      <c r="H13" s="2"/>
      <c r="I13" s="2"/>
      <c r="N13" s="3"/>
      <c r="O13" s="3"/>
      <c r="P13" s="3"/>
      <c r="Q13" s="3"/>
      <c r="X13" s="4"/>
      <c r="Y13" s="4"/>
      <c r="Z13" s="4"/>
      <c r="AA13" s="4"/>
      <c r="AB13" s="4"/>
      <c r="AC13" s="4"/>
      <c r="AD13" s="4"/>
      <c r="AE13" s="2"/>
      <c r="AF13" s="2"/>
      <c r="AG13" s="2"/>
      <c r="AH13" s="2"/>
      <c r="AI13" s="3"/>
      <c r="AJ13" s="3"/>
      <c r="AK13" s="3"/>
    </row>
    <row r="14" spans="2:54" ht="27" customHeight="1" thickBot="1" x14ac:dyDescent="0.4">
      <c r="B14" s="65" t="s">
        <v>19</v>
      </c>
      <c r="C14" s="66">
        <v>18.2</v>
      </c>
      <c r="D14" s="67">
        <v>24.25</v>
      </c>
      <c r="E14"/>
      <c r="F14"/>
      <c r="G14" s="2"/>
      <c r="H14" s="2"/>
      <c r="I14" s="2"/>
      <c r="N14" s="3"/>
      <c r="O14" s="3"/>
      <c r="P14" s="3"/>
      <c r="Q14" s="3"/>
      <c r="X14" s="4"/>
      <c r="Y14" s="4"/>
      <c r="Z14" s="4"/>
      <c r="AA14" s="4"/>
      <c r="AB14" s="4"/>
      <c r="AC14" s="4"/>
      <c r="AD14" s="4"/>
      <c r="AE14" s="2"/>
      <c r="AF14" s="2"/>
      <c r="AG14" s="2"/>
      <c r="AH14" s="2"/>
      <c r="AI14" s="3"/>
      <c r="AJ14" s="3"/>
      <c r="AK14" s="3"/>
    </row>
    <row r="15" spans="2:54" ht="34.5" customHeight="1" x14ac:dyDescent="0.35">
      <c r="B15" s="70" t="s">
        <v>25</v>
      </c>
      <c r="C15" s="71" t="s">
        <v>22</v>
      </c>
      <c r="D15"/>
      <c r="E15"/>
      <c r="F15"/>
      <c r="G15" s="2"/>
      <c r="H15" s="2"/>
      <c r="I15" s="2"/>
      <c r="L15" s="84" t="s">
        <v>34</v>
      </c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6"/>
    </row>
    <row r="16" spans="2:54" ht="42" customHeight="1" x14ac:dyDescent="0.35">
      <c r="B16" s="46" t="s">
        <v>26</v>
      </c>
      <c r="C16" s="72">
        <v>230</v>
      </c>
      <c r="D16"/>
      <c r="E16"/>
      <c r="F16"/>
      <c r="G16" s="2"/>
      <c r="H16" s="2"/>
      <c r="I16" s="2"/>
      <c r="L16" s="87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9"/>
    </row>
    <row r="17" spans="1:76" ht="15" customHeight="1" thickBot="1" x14ac:dyDescent="0.4">
      <c r="B17" s="78" t="s">
        <v>1</v>
      </c>
      <c r="C17" s="79">
        <v>102</v>
      </c>
      <c r="D17"/>
      <c r="E17"/>
      <c r="F17"/>
      <c r="G17" s="2"/>
      <c r="H17" s="2"/>
      <c r="I17" s="2"/>
      <c r="L17" s="54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Z17" s="56"/>
      <c r="BA17" s="56"/>
      <c r="BB17" s="57"/>
    </row>
    <row r="18" spans="1:76" ht="30" customHeight="1" thickBot="1" x14ac:dyDescent="0.4">
      <c r="B18" s="78"/>
      <c r="C18" s="79"/>
      <c r="D18"/>
      <c r="E18"/>
      <c r="F18"/>
      <c r="G18" s="2"/>
      <c r="H18" s="2"/>
      <c r="I18" s="2"/>
      <c r="L18" s="90" t="s">
        <v>17</v>
      </c>
      <c r="M18" s="91"/>
      <c r="N18" s="92"/>
      <c r="O18"/>
      <c r="P18" s="90" t="s">
        <v>2</v>
      </c>
      <c r="Q18" s="91"/>
      <c r="R18" s="92"/>
      <c r="S18"/>
      <c r="T18" s="90" t="s">
        <v>9</v>
      </c>
      <c r="U18" s="91"/>
      <c r="V18" s="92"/>
      <c r="W18"/>
      <c r="X18" s="90" t="s">
        <v>15</v>
      </c>
      <c r="Y18" s="91"/>
      <c r="Z18" s="92"/>
      <c r="AA18"/>
      <c r="AB18" s="90" t="s">
        <v>3</v>
      </c>
      <c r="AC18" s="91"/>
      <c r="AD18" s="92"/>
      <c r="AE18"/>
      <c r="AF18" s="90" t="s">
        <v>4</v>
      </c>
      <c r="AG18" s="91"/>
      <c r="AH18" s="92"/>
      <c r="AI18"/>
      <c r="AJ18" s="90" t="s">
        <v>29</v>
      </c>
      <c r="AK18" s="91"/>
      <c r="AL18" s="92"/>
      <c r="AM18"/>
      <c r="AN18" s="90" t="s">
        <v>16</v>
      </c>
      <c r="AO18" s="91"/>
      <c r="AP18" s="92"/>
      <c r="AQ18"/>
      <c r="AR18" s="90" t="s">
        <v>6</v>
      </c>
      <c r="AS18" s="91"/>
      <c r="AT18" s="92"/>
      <c r="AU18"/>
      <c r="AV18" s="90" t="s">
        <v>23</v>
      </c>
      <c r="AW18" s="91"/>
      <c r="AX18" s="92"/>
      <c r="AY18"/>
      <c r="AZ18" s="90">
        <v>41.5</v>
      </c>
      <c r="BA18" s="91"/>
      <c r="BB18" s="92"/>
    </row>
    <row r="19" spans="1:76" ht="30" customHeight="1" x14ac:dyDescent="0.35">
      <c r="B19" s="46" t="s">
        <v>20</v>
      </c>
      <c r="C19" s="73">
        <f>C14*D14*C16/1550</f>
        <v>65.490645161290317</v>
      </c>
      <c r="D19" s="68" t="s">
        <v>30</v>
      </c>
      <c r="E19"/>
      <c r="F19" s="62" t="s">
        <v>33</v>
      </c>
      <c r="G19" s="2"/>
      <c r="H19" s="2"/>
      <c r="I19" s="2"/>
      <c r="L19" s="93"/>
      <c r="M19" s="94"/>
      <c r="N19" s="95"/>
      <c r="O19"/>
      <c r="P19" s="93"/>
      <c r="Q19" s="94"/>
      <c r="R19" s="95"/>
      <c r="S19"/>
      <c r="T19" s="93"/>
      <c r="U19" s="94"/>
      <c r="V19" s="95"/>
      <c r="W19"/>
      <c r="X19" s="93"/>
      <c r="Y19" s="94"/>
      <c r="Z19" s="95"/>
      <c r="AA19"/>
      <c r="AB19" s="93"/>
      <c r="AC19" s="94"/>
      <c r="AD19" s="95"/>
      <c r="AE19"/>
      <c r="AF19" s="93"/>
      <c r="AG19" s="94"/>
      <c r="AH19" s="95"/>
      <c r="AI19"/>
      <c r="AJ19" s="93"/>
      <c r="AK19" s="94"/>
      <c r="AL19" s="95"/>
      <c r="AM19"/>
      <c r="AN19" s="93"/>
      <c r="AO19" s="94"/>
      <c r="AP19" s="95"/>
      <c r="AQ19"/>
      <c r="AR19" s="93"/>
      <c r="AS19" s="94"/>
      <c r="AT19" s="95"/>
      <c r="AU19"/>
      <c r="AV19" s="93"/>
      <c r="AW19" s="94"/>
      <c r="AX19" s="95"/>
      <c r="AY19"/>
      <c r="AZ19" s="93"/>
      <c r="BA19" s="94"/>
      <c r="BB19" s="95"/>
    </row>
    <row r="20" spans="1:76" ht="30" customHeight="1" thickBot="1" x14ac:dyDescent="0.4">
      <c r="B20" s="47" t="s">
        <v>18</v>
      </c>
      <c r="C20" s="74">
        <f>C17*C19/1000</f>
        <v>6.6800458064516128</v>
      </c>
      <c r="D20" s="69">
        <v>2</v>
      </c>
      <c r="E20"/>
      <c r="F20" s="63">
        <v>1</v>
      </c>
      <c r="K20" s="22"/>
      <c r="L20" s="23">
        <v>50</v>
      </c>
      <c r="M20" s="10">
        <v>0</v>
      </c>
      <c r="N20" s="24" t="s">
        <v>14</v>
      </c>
      <c r="O20" s="22"/>
      <c r="P20" s="29">
        <v>53</v>
      </c>
      <c r="Q20" s="8">
        <v>0</v>
      </c>
      <c r="R20" s="24" t="s">
        <v>2</v>
      </c>
      <c r="S20" s="22"/>
      <c r="T20" s="29">
        <v>72</v>
      </c>
      <c r="U20" s="8">
        <v>0</v>
      </c>
      <c r="V20" s="24" t="s">
        <v>9</v>
      </c>
      <c r="W20" s="22"/>
      <c r="X20" s="23">
        <v>76</v>
      </c>
      <c r="Y20" s="10">
        <v>0</v>
      </c>
      <c r="Z20" s="30" t="s">
        <v>13</v>
      </c>
      <c r="AA20" s="22"/>
      <c r="AB20" s="23">
        <v>76</v>
      </c>
      <c r="AC20" s="10">
        <v>0</v>
      </c>
      <c r="AD20" s="30" t="s">
        <v>10</v>
      </c>
      <c r="AE20" s="22"/>
      <c r="AF20" s="23">
        <v>90</v>
      </c>
      <c r="AG20" s="53">
        <f>F20</f>
        <v>1</v>
      </c>
      <c r="AH20" s="30" t="s">
        <v>4</v>
      </c>
      <c r="AI20" s="22"/>
      <c r="AJ20" s="29">
        <v>95</v>
      </c>
      <c r="AK20" s="10">
        <f>AG20+1</f>
        <v>2</v>
      </c>
      <c r="AL20" s="24" t="s">
        <v>5</v>
      </c>
      <c r="AM20" s="22"/>
      <c r="AN20" s="29">
        <v>115</v>
      </c>
      <c r="AO20" s="10">
        <f>AG20+2</f>
        <v>3</v>
      </c>
      <c r="AP20" s="24" t="s">
        <v>11</v>
      </c>
      <c r="AQ20" s="22"/>
      <c r="AR20" s="23">
        <v>120</v>
      </c>
      <c r="AS20" s="10">
        <f>AG20+3</f>
        <v>4</v>
      </c>
      <c r="AT20" s="31" t="s">
        <v>6</v>
      </c>
      <c r="AU20" s="22"/>
      <c r="AV20" s="23">
        <v>138</v>
      </c>
      <c r="AW20" s="10">
        <f>AG20+4</f>
        <v>5</v>
      </c>
      <c r="AX20" s="30" t="s">
        <v>23</v>
      </c>
      <c r="AY20" s="22"/>
      <c r="AZ20" s="23">
        <v>143</v>
      </c>
      <c r="BA20" s="10">
        <f>AG20+5</f>
        <v>6</v>
      </c>
      <c r="BB20" s="30" t="s">
        <v>23</v>
      </c>
    </row>
    <row r="21" spans="1:76" ht="30" customHeight="1" x14ac:dyDescent="0.35">
      <c r="B21" s="49" t="s">
        <v>0</v>
      </c>
      <c r="C21" s="50" t="s">
        <v>18</v>
      </c>
      <c r="D21" s="51" t="s">
        <v>27</v>
      </c>
      <c r="E21" s="51" t="s">
        <v>28</v>
      </c>
      <c r="F21" s="52" t="s">
        <v>32</v>
      </c>
      <c r="G21" s="33" t="s">
        <v>30</v>
      </c>
      <c r="H21" s="33" t="s">
        <v>18</v>
      </c>
      <c r="I21" s="33" t="s">
        <v>21</v>
      </c>
      <c r="J21" s="34" t="s">
        <v>7</v>
      </c>
      <c r="L21" s="96" t="s">
        <v>1</v>
      </c>
      <c r="M21" s="97"/>
      <c r="N21" s="25" t="s">
        <v>8</v>
      </c>
      <c r="O21"/>
      <c r="P21" s="96" t="s">
        <v>1</v>
      </c>
      <c r="Q21" s="97"/>
      <c r="R21" s="25" t="s">
        <v>8</v>
      </c>
      <c r="S21"/>
      <c r="T21" s="96" t="s">
        <v>1</v>
      </c>
      <c r="U21" s="97"/>
      <c r="V21" s="25" t="s">
        <v>0</v>
      </c>
      <c r="W21"/>
      <c r="X21" s="96" t="s">
        <v>3</v>
      </c>
      <c r="Y21" s="97"/>
      <c r="Z21" s="25" t="s">
        <v>0</v>
      </c>
      <c r="AA21"/>
      <c r="AB21" s="96" t="s">
        <v>1</v>
      </c>
      <c r="AC21" s="97"/>
      <c r="AD21" s="25" t="s">
        <v>0</v>
      </c>
      <c r="AE21"/>
      <c r="AF21" s="96" t="s">
        <v>1</v>
      </c>
      <c r="AG21" s="97"/>
      <c r="AH21" s="25" t="s">
        <v>8</v>
      </c>
      <c r="AI21"/>
      <c r="AJ21" s="96" t="s">
        <v>1</v>
      </c>
      <c r="AK21" s="97"/>
      <c r="AL21" s="25" t="s">
        <v>8</v>
      </c>
      <c r="AM21"/>
      <c r="AN21" s="96" t="s">
        <v>12</v>
      </c>
      <c r="AO21" s="97"/>
      <c r="AP21" s="25" t="s">
        <v>8</v>
      </c>
      <c r="AQ21"/>
      <c r="AR21" s="96" t="s">
        <v>1</v>
      </c>
      <c r="AS21" s="97"/>
      <c r="AT21" s="25" t="s">
        <v>8</v>
      </c>
      <c r="AU21"/>
      <c r="AV21" s="96" t="s">
        <v>1</v>
      </c>
      <c r="AW21" s="97"/>
      <c r="AX21" s="25" t="s">
        <v>8</v>
      </c>
      <c r="AY21"/>
      <c r="AZ21" s="96" t="s">
        <v>1</v>
      </c>
      <c r="BA21" s="97"/>
      <c r="BB21" s="25" t="s">
        <v>8</v>
      </c>
    </row>
    <row r="22" spans="1:76" s="11" customFormat="1" ht="30" customHeight="1" x14ac:dyDescent="0.35">
      <c r="A22"/>
      <c r="B22" s="35">
        <v>1000</v>
      </c>
      <c r="C22" s="13">
        <f>B22*C20</f>
        <v>6680.0458064516124</v>
      </c>
      <c r="D22" s="12">
        <v>3000</v>
      </c>
      <c r="E22" s="12">
        <v>1500</v>
      </c>
      <c r="F22" s="14">
        <v>250</v>
      </c>
      <c r="G22" s="14">
        <f>65*B22/1000*D20</f>
        <v>130</v>
      </c>
      <c r="H22" s="14">
        <f>SUM(C22+D22+E22+F22+G22)</f>
        <v>11560.045806451613</v>
      </c>
      <c r="I22" s="32">
        <v>0.35</v>
      </c>
      <c r="J22" s="36">
        <f>SUM(H22*I22)+H22</f>
        <v>15606.061838709678</v>
      </c>
      <c r="K22"/>
      <c r="L22" s="80">
        <f t="shared" ref="L22:L41" si="0">J22/N22*1000</f>
        <v>312.12123677419356</v>
      </c>
      <c r="M22" s="81"/>
      <c r="N22" s="26">
        <f>50*B22</f>
        <v>50000</v>
      </c>
      <c r="O22"/>
      <c r="P22" s="80">
        <f t="shared" ref="P22:P41" si="1">J22/R22*1000</f>
        <v>294.45399695678634</v>
      </c>
      <c r="Q22" s="81"/>
      <c r="R22" s="26">
        <f>53*B22</f>
        <v>53000</v>
      </c>
      <c r="S22"/>
      <c r="T22" s="80">
        <f t="shared" ref="T22:T41" si="2">J22/V22*1000</f>
        <v>216.75085887096776</v>
      </c>
      <c r="U22" s="81"/>
      <c r="V22" s="26">
        <f>72*B22</f>
        <v>72000</v>
      </c>
      <c r="W22"/>
      <c r="X22" s="80">
        <f t="shared" ref="X22:X41" si="3">J22/Z22*1000</f>
        <v>205.34291893039051</v>
      </c>
      <c r="Y22" s="81"/>
      <c r="Z22" s="26">
        <f>76*B22</f>
        <v>76000</v>
      </c>
      <c r="AA22"/>
      <c r="AB22" s="80">
        <f t="shared" ref="AB22:AB41" si="4">J22/AD22*1000+2</f>
        <v>207.34291893039051</v>
      </c>
      <c r="AC22" s="81"/>
      <c r="AD22" s="26">
        <f>76*B22</f>
        <v>76000</v>
      </c>
      <c r="AE22"/>
      <c r="AF22" s="80">
        <f>J22/AH22*1000+AG20</f>
        <v>174.40068709677419</v>
      </c>
      <c r="AG22" s="81"/>
      <c r="AH22" s="26">
        <f>90*B22</f>
        <v>90000</v>
      </c>
      <c r="AI22"/>
      <c r="AJ22" s="80">
        <f>J22/AL22*1000+AK20</f>
        <v>166.2743351443124</v>
      </c>
      <c r="AK22" s="81"/>
      <c r="AL22" s="26">
        <f>95*B22</f>
        <v>95000</v>
      </c>
      <c r="AM22"/>
      <c r="AN22" s="80">
        <f>J22/AP22*1000+AO20</f>
        <v>138.7048855539972</v>
      </c>
      <c r="AO22" s="81"/>
      <c r="AP22" s="26">
        <f>115*B22</f>
        <v>115000</v>
      </c>
      <c r="AQ22"/>
      <c r="AR22" s="80">
        <f>J22/AT22*1000+AS20</f>
        <v>134.05051532258065</v>
      </c>
      <c r="AS22" s="81"/>
      <c r="AT22" s="26">
        <f>120*B22</f>
        <v>120000</v>
      </c>
      <c r="AU22"/>
      <c r="AV22" s="80">
        <f>J22/AX22*1000+AW20</f>
        <v>118.087404628331</v>
      </c>
      <c r="AW22" s="81"/>
      <c r="AX22" s="26">
        <f>138*B22</f>
        <v>138000</v>
      </c>
      <c r="AY22"/>
      <c r="AZ22" s="80">
        <f>J22/BB22*1000+BA20</f>
        <v>115.13329957139635</v>
      </c>
      <c r="BA22" s="81"/>
      <c r="BB22" s="26">
        <f>143*B22</f>
        <v>143000</v>
      </c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</row>
    <row r="23" spans="1:76" s="20" customFormat="1" ht="30" customHeight="1" x14ac:dyDescent="0.35">
      <c r="A23"/>
      <c r="B23" s="37">
        <v>2000</v>
      </c>
      <c r="C23" s="17">
        <f>B23*C20</f>
        <v>13360.091612903225</v>
      </c>
      <c r="D23" s="16">
        <v>3000</v>
      </c>
      <c r="E23" s="16">
        <f>E22+500</f>
        <v>2000</v>
      </c>
      <c r="F23" s="18">
        <v>500</v>
      </c>
      <c r="G23" s="18">
        <f>65*B23/1000*D20</f>
        <v>260</v>
      </c>
      <c r="H23" s="18">
        <f>SUM(C23+D23+E23+F23+G23)</f>
        <v>19120.091612903227</v>
      </c>
      <c r="I23" s="19">
        <f t="shared" ref="I23:I30" si="5">I22-0.01</f>
        <v>0.33999999999999997</v>
      </c>
      <c r="J23" s="38">
        <f t="shared" ref="J23:J41" si="6">SUM(H23*I23)+H23</f>
        <v>25620.922761290323</v>
      </c>
      <c r="K23"/>
      <c r="L23" s="82">
        <f t="shared" si="0"/>
        <v>256.20922761290319</v>
      </c>
      <c r="M23" s="83"/>
      <c r="N23" s="27">
        <f t="shared" ref="N23:N41" si="7">50*B23</f>
        <v>100000</v>
      </c>
      <c r="O23"/>
      <c r="P23" s="82">
        <f t="shared" si="1"/>
        <v>241.70681850273888</v>
      </c>
      <c r="Q23" s="83"/>
      <c r="R23" s="27">
        <f t="shared" ref="R23:R41" si="8">53*B23</f>
        <v>106000</v>
      </c>
      <c r="S23"/>
      <c r="T23" s="82">
        <f t="shared" si="2"/>
        <v>177.92307473118279</v>
      </c>
      <c r="U23" s="83"/>
      <c r="V23" s="27">
        <f t="shared" ref="V23:V41" si="9">72*B23</f>
        <v>144000</v>
      </c>
      <c r="W23"/>
      <c r="X23" s="82">
        <f t="shared" si="3"/>
        <v>168.55870237691002</v>
      </c>
      <c r="Y23" s="83"/>
      <c r="Z23" s="27">
        <f t="shared" ref="Z23:Z41" si="10">76*B23</f>
        <v>152000</v>
      </c>
      <c r="AA23"/>
      <c r="AB23" s="82">
        <f t="shared" si="4"/>
        <v>170.55870237691002</v>
      </c>
      <c r="AC23" s="83"/>
      <c r="AD23" s="27">
        <f t="shared" ref="AD23:AD41" si="11">76*B23</f>
        <v>152000</v>
      </c>
      <c r="AE23"/>
      <c r="AF23" s="82">
        <f>J23/AH23*1000+AG20</f>
        <v>143.33845978494625</v>
      </c>
      <c r="AG23" s="83"/>
      <c r="AH23" s="27">
        <f t="shared" ref="AH23:AH41" si="12">90*B23</f>
        <v>180000</v>
      </c>
      <c r="AI23"/>
      <c r="AJ23" s="82">
        <f>J23/AL23*1000+AK20</f>
        <v>136.846961901528</v>
      </c>
      <c r="AK23" s="83"/>
      <c r="AL23" s="27">
        <f t="shared" ref="AL23:AL41" si="13">95*B23</f>
        <v>190000</v>
      </c>
      <c r="AM23"/>
      <c r="AN23" s="82">
        <f>J23/AP23*1000+AO20</f>
        <v>114.39531635343619</v>
      </c>
      <c r="AO23" s="83"/>
      <c r="AP23" s="27">
        <f t="shared" ref="AP23:AP41" si="14">115*B23</f>
        <v>230000</v>
      </c>
      <c r="AQ23"/>
      <c r="AR23" s="82">
        <f>J23/AT23*1000+AS20</f>
        <v>110.75384483870968</v>
      </c>
      <c r="AS23" s="83"/>
      <c r="AT23" s="27">
        <f t="shared" ref="AT23:AT41" si="15">120*B23</f>
        <v>240000</v>
      </c>
      <c r="AU23"/>
      <c r="AV23" s="82">
        <f>J23/AX23*1000+AW20</f>
        <v>97.829430294530155</v>
      </c>
      <c r="AW23" s="83"/>
      <c r="AX23" s="27">
        <f t="shared" ref="AX23:AX41" si="16">138*B23</f>
        <v>276000</v>
      </c>
      <c r="AY23"/>
      <c r="AZ23" s="82">
        <f>J23/BB23*1000+BA20</f>
        <v>95.583646018497632</v>
      </c>
      <c r="BA23" s="83"/>
      <c r="BB23" s="27">
        <f t="shared" ref="BB23:BB41" si="17">143*B23</f>
        <v>286000</v>
      </c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</row>
    <row r="24" spans="1:76" s="11" customFormat="1" ht="30" customHeight="1" x14ac:dyDescent="0.35">
      <c r="A24"/>
      <c r="B24" s="35">
        <v>3000</v>
      </c>
      <c r="C24" s="13">
        <f>B24*C20</f>
        <v>20040.13741935484</v>
      </c>
      <c r="D24" s="12">
        <v>3000</v>
      </c>
      <c r="E24" s="12">
        <f>E23+500</f>
        <v>2500</v>
      </c>
      <c r="F24" s="14">
        <v>750</v>
      </c>
      <c r="G24" s="14">
        <f>65*B24/1000*D20</f>
        <v>390</v>
      </c>
      <c r="H24" s="14">
        <f t="shared" ref="H24:H41" si="18">SUM(C24+D24+E24+F24+G24)</f>
        <v>26680.13741935484</v>
      </c>
      <c r="I24" s="15">
        <f t="shared" si="5"/>
        <v>0.32999999999999996</v>
      </c>
      <c r="J24" s="36">
        <f t="shared" si="6"/>
        <v>35484.582767741937</v>
      </c>
      <c r="K24"/>
      <c r="L24" s="80">
        <f t="shared" si="0"/>
        <v>236.56388511827959</v>
      </c>
      <c r="M24" s="81"/>
      <c r="N24" s="26">
        <f t="shared" si="7"/>
        <v>150000</v>
      </c>
      <c r="O24"/>
      <c r="P24" s="80">
        <f t="shared" si="1"/>
        <v>223.17347652667885</v>
      </c>
      <c r="Q24" s="81"/>
      <c r="R24" s="26">
        <f t="shared" si="8"/>
        <v>159000</v>
      </c>
      <c r="S24"/>
      <c r="T24" s="80">
        <f t="shared" si="2"/>
        <v>164.28047577658302</v>
      </c>
      <c r="U24" s="81"/>
      <c r="V24" s="26">
        <f t="shared" si="9"/>
        <v>216000</v>
      </c>
      <c r="W24"/>
      <c r="X24" s="80">
        <f t="shared" si="3"/>
        <v>155.63413494623657</v>
      </c>
      <c r="Y24" s="81"/>
      <c r="Z24" s="26">
        <f t="shared" si="10"/>
        <v>228000</v>
      </c>
      <c r="AA24"/>
      <c r="AB24" s="80">
        <f t="shared" si="4"/>
        <v>157.63413494623657</v>
      </c>
      <c r="AC24" s="81"/>
      <c r="AD24" s="26">
        <f t="shared" si="11"/>
        <v>228000</v>
      </c>
      <c r="AE24"/>
      <c r="AF24" s="80">
        <f>J24/AH24*1000+AG20</f>
        <v>132.42438062126644</v>
      </c>
      <c r="AG24" s="81"/>
      <c r="AH24" s="26">
        <f t="shared" si="12"/>
        <v>270000</v>
      </c>
      <c r="AI24"/>
      <c r="AJ24" s="80">
        <f>J24/AL24*1000+AK20</f>
        <v>126.50730795698925</v>
      </c>
      <c r="AK24" s="81"/>
      <c r="AL24" s="26">
        <f t="shared" si="13"/>
        <v>285000</v>
      </c>
      <c r="AM24"/>
      <c r="AN24" s="80">
        <f>J24/AP24*1000+AO20</f>
        <v>105.85386309490416</v>
      </c>
      <c r="AO24" s="81"/>
      <c r="AP24" s="26">
        <f t="shared" si="14"/>
        <v>345000</v>
      </c>
      <c r="AQ24"/>
      <c r="AR24" s="80">
        <f>J24/AT24*1000+AS20</f>
        <v>102.56828546594983</v>
      </c>
      <c r="AS24" s="81"/>
      <c r="AT24" s="26">
        <f t="shared" si="15"/>
        <v>360000</v>
      </c>
      <c r="AU24"/>
      <c r="AV24" s="80">
        <f>J24/AX24*1000+AW20</f>
        <v>90.711552579086799</v>
      </c>
      <c r="AW24" s="81"/>
      <c r="AX24" s="26">
        <f t="shared" si="16"/>
        <v>414000</v>
      </c>
      <c r="AY24"/>
      <c r="AZ24" s="80">
        <f>J24/BB24*1000+BA20</f>
        <v>88.714645146251598</v>
      </c>
      <c r="BA24" s="81"/>
      <c r="BB24" s="26">
        <f t="shared" si="17"/>
        <v>429000</v>
      </c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</row>
    <row r="25" spans="1:76" s="9" customFormat="1" ht="30" customHeight="1" x14ac:dyDescent="0.35">
      <c r="A25"/>
      <c r="B25" s="37">
        <v>4000</v>
      </c>
      <c r="C25" s="17">
        <f>B25*C20</f>
        <v>26720.18322580645</v>
      </c>
      <c r="D25" s="16">
        <f t="shared" ref="D25:D41" si="19">3000+450*B22/1000</f>
        <v>3450</v>
      </c>
      <c r="E25" s="16">
        <f>E24+200</f>
        <v>2700</v>
      </c>
      <c r="F25" s="18">
        <v>1000</v>
      </c>
      <c r="G25" s="18">
        <f>65*B25/1000*D20</f>
        <v>520</v>
      </c>
      <c r="H25" s="18">
        <f t="shared" si="18"/>
        <v>34390.183225806453</v>
      </c>
      <c r="I25" s="19">
        <f t="shared" si="5"/>
        <v>0.31999999999999995</v>
      </c>
      <c r="J25" s="38">
        <f t="shared" si="6"/>
        <v>45395.04185806452</v>
      </c>
      <c r="K25"/>
      <c r="L25" s="82">
        <f t="shared" si="0"/>
        <v>226.97520929032262</v>
      </c>
      <c r="M25" s="83"/>
      <c r="N25" s="27">
        <f t="shared" si="7"/>
        <v>200000</v>
      </c>
      <c r="O25"/>
      <c r="P25" s="82">
        <f t="shared" si="1"/>
        <v>214.12755593426661</v>
      </c>
      <c r="Q25" s="83"/>
      <c r="R25" s="27">
        <f t="shared" si="8"/>
        <v>212000</v>
      </c>
      <c r="S25"/>
      <c r="T25" s="82">
        <f t="shared" si="2"/>
        <v>157.62167311827957</v>
      </c>
      <c r="U25" s="83"/>
      <c r="V25" s="27">
        <f t="shared" si="9"/>
        <v>288000</v>
      </c>
      <c r="W25"/>
      <c r="X25" s="82">
        <f t="shared" si="3"/>
        <v>149.32579558573855</v>
      </c>
      <c r="Y25" s="83"/>
      <c r="Z25" s="27">
        <f t="shared" si="10"/>
        <v>304000</v>
      </c>
      <c r="AA25"/>
      <c r="AB25" s="82">
        <f t="shared" si="4"/>
        <v>151.32579558573855</v>
      </c>
      <c r="AC25" s="83"/>
      <c r="AD25" s="27">
        <f t="shared" si="11"/>
        <v>304000</v>
      </c>
      <c r="AE25"/>
      <c r="AF25" s="82">
        <f>J25/AH25*1000+AG20</f>
        <v>127.09733849462368</v>
      </c>
      <c r="AG25" s="83"/>
      <c r="AH25" s="27">
        <f t="shared" si="12"/>
        <v>360000</v>
      </c>
      <c r="AI25"/>
      <c r="AJ25" s="82">
        <f>J25/AL25*1000+AK20</f>
        <v>121.46063646859085</v>
      </c>
      <c r="AK25" s="83"/>
      <c r="AL25" s="27">
        <f t="shared" si="13"/>
        <v>380000</v>
      </c>
      <c r="AM25"/>
      <c r="AN25" s="82">
        <f>J25/AP25*1000+AO20</f>
        <v>101.68487360448809</v>
      </c>
      <c r="AO25" s="83"/>
      <c r="AP25" s="27">
        <f t="shared" si="14"/>
        <v>460000</v>
      </c>
      <c r="AQ25"/>
      <c r="AR25" s="82">
        <f>J25/AT25*1000+AS20</f>
        <v>98.573003870967739</v>
      </c>
      <c r="AS25" s="83"/>
      <c r="AT25" s="27">
        <f t="shared" si="15"/>
        <v>480000</v>
      </c>
      <c r="AU25"/>
      <c r="AV25" s="82">
        <f>J25/AX25*1000+AW20</f>
        <v>87.237394670406729</v>
      </c>
      <c r="AW25" s="83"/>
      <c r="AX25" s="27">
        <f t="shared" si="16"/>
        <v>552000</v>
      </c>
      <c r="AY25"/>
      <c r="AZ25" s="82">
        <f>J25/BB25*1000+BA20</f>
        <v>85.361961290322597</v>
      </c>
      <c r="BA25" s="83"/>
      <c r="BB25" s="27">
        <f t="shared" si="17"/>
        <v>572000</v>
      </c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</row>
    <row r="26" spans="1:76" s="11" customFormat="1" ht="30" customHeight="1" x14ac:dyDescent="0.35">
      <c r="A26"/>
      <c r="B26" s="35">
        <v>5000</v>
      </c>
      <c r="C26" s="13">
        <f>B26*C20</f>
        <v>33400.229032258067</v>
      </c>
      <c r="D26" s="12">
        <f>3000+450*B23/1000</f>
        <v>3900</v>
      </c>
      <c r="E26" s="12">
        <f>E25+200</f>
        <v>2900</v>
      </c>
      <c r="F26" s="14">
        <v>1250</v>
      </c>
      <c r="G26" s="14">
        <f>65*B26/1000*D20</f>
        <v>650</v>
      </c>
      <c r="H26" s="14">
        <f t="shared" si="18"/>
        <v>42100.229032258067</v>
      </c>
      <c r="I26" s="15">
        <f t="shared" si="5"/>
        <v>0.30999999999999994</v>
      </c>
      <c r="J26" s="36">
        <f t="shared" si="6"/>
        <v>55151.300032258063</v>
      </c>
      <c r="K26"/>
      <c r="L26" s="80">
        <f t="shared" si="0"/>
        <v>220.60520012903226</v>
      </c>
      <c r="M26" s="81"/>
      <c r="N26" s="26">
        <f t="shared" si="7"/>
        <v>250000</v>
      </c>
      <c r="O26"/>
      <c r="P26" s="80">
        <f t="shared" si="1"/>
        <v>208.1181133292757</v>
      </c>
      <c r="Q26" s="81"/>
      <c r="R26" s="26">
        <f t="shared" si="8"/>
        <v>265000</v>
      </c>
      <c r="S26"/>
      <c r="T26" s="80">
        <f t="shared" si="2"/>
        <v>153.19805564516128</v>
      </c>
      <c r="U26" s="81"/>
      <c r="V26" s="26">
        <f t="shared" si="9"/>
        <v>360000</v>
      </c>
      <c r="W26"/>
      <c r="X26" s="80">
        <f t="shared" si="3"/>
        <v>145.13500008488964</v>
      </c>
      <c r="Y26" s="81"/>
      <c r="Z26" s="26">
        <f t="shared" si="10"/>
        <v>380000</v>
      </c>
      <c r="AA26"/>
      <c r="AB26" s="80">
        <f t="shared" si="4"/>
        <v>147.13500008488964</v>
      </c>
      <c r="AC26" s="81"/>
      <c r="AD26" s="26">
        <f t="shared" si="11"/>
        <v>380000</v>
      </c>
      <c r="AE26"/>
      <c r="AF26" s="80">
        <f>J26/AH26*1000+AG20</f>
        <v>123.55844451612903</v>
      </c>
      <c r="AG26" s="81"/>
      <c r="AH26" s="26">
        <f t="shared" si="12"/>
        <v>450000</v>
      </c>
      <c r="AI26"/>
      <c r="AJ26" s="80">
        <f>J26/AL26*1000+AK20</f>
        <v>118.1080000679117</v>
      </c>
      <c r="AK26" s="81"/>
      <c r="AL26" s="26">
        <f t="shared" si="13"/>
        <v>475000</v>
      </c>
      <c r="AM26"/>
      <c r="AN26" s="80">
        <f>J26/AP26*1000+AO20</f>
        <v>98.915304403927067</v>
      </c>
      <c r="AO26" s="81"/>
      <c r="AP26" s="26">
        <f t="shared" si="14"/>
        <v>575000</v>
      </c>
      <c r="AQ26"/>
      <c r="AR26" s="80">
        <f>J26/AT26*1000+AS20</f>
        <v>95.918833387096782</v>
      </c>
      <c r="AS26" s="81"/>
      <c r="AT26" s="26">
        <f t="shared" si="15"/>
        <v>600000</v>
      </c>
      <c r="AU26"/>
      <c r="AV26" s="80">
        <f>J26/AX26*1000+AW20</f>
        <v>84.929420336605887</v>
      </c>
      <c r="AW26" s="81"/>
      <c r="AX26" s="26">
        <f t="shared" si="16"/>
        <v>690000</v>
      </c>
      <c r="AY26"/>
      <c r="AZ26" s="80">
        <f>J26/BB26*1000+BA20</f>
        <v>83.134685359801495</v>
      </c>
      <c r="BA26" s="81"/>
      <c r="BB26" s="26">
        <f t="shared" si="17"/>
        <v>715000</v>
      </c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</row>
    <row r="27" spans="1:76" s="9" customFormat="1" ht="30" customHeight="1" x14ac:dyDescent="0.35">
      <c r="A27"/>
      <c r="B27" s="37">
        <v>6000</v>
      </c>
      <c r="C27" s="17">
        <f>B27*C20</f>
        <v>40080.27483870968</v>
      </c>
      <c r="D27" s="16">
        <f>3000+450*B24/1000</f>
        <v>4350</v>
      </c>
      <c r="E27" s="16">
        <f>E26+200</f>
        <v>3100</v>
      </c>
      <c r="F27" s="18">
        <v>1500</v>
      </c>
      <c r="G27" s="18">
        <f>65*B27/1000*D20</f>
        <v>780</v>
      </c>
      <c r="H27" s="18">
        <f t="shared" si="18"/>
        <v>49810.27483870968</v>
      </c>
      <c r="I27" s="19">
        <f t="shared" si="5"/>
        <v>0.29999999999999993</v>
      </c>
      <c r="J27" s="38">
        <f t="shared" si="6"/>
        <v>64753.35729032258</v>
      </c>
      <c r="K27"/>
      <c r="L27" s="82">
        <f t="shared" si="0"/>
        <v>215.84452430107527</v>
      </c>
      <c r="M27" s="83"/>
      <c r="N27" s="27">
        <f t="shared" si="7"/>
        <v>300000</v>
      </c>
      <c r="O27"/>
      <c r="P27" s="82">
        <f t="shared" si="1"/>
        <v>203.62690971799555</v>
      </c>
      <c r="Q27" s="83"/>
      <c r="R27" s="27">
        <f t="shared" si="8"/>
        <v>318000</v>
      </c>
      <c r="S27"/>
      <c r="T27" s="82">
        <f t="shared" si="2"/>
        <v>149.89203076463562</v>
      </c>
      <c r="U27" s="83"/>
      <c r="V27" s="27">
        <f t="shared" si="9"/>
        <v>432000</v>
      </c>
      <c r="W27"/>
      <c r="X27" s="82">
        <f t="shared" si="3"/>
        <v>142.00297651386532</v>
      </c>
      <c r="Y27" s="83"/>
      <c r="Z27" s="27">
        <f t="shared" si="10"/>
        <v>456000</v>
      </c>
      <c r="AA27"/>
      <c r="AB27" s="82">
        <f t="shared" si="4"/>
        <v>144.00297651386532</v>
      </c>
      <c r="AC27" s="83"/>
      <c r="AD27" s="27">
        <f t="shared" si="11"/>
        <v>456000</v>
      </c>
      <c r="AE27"/>
      <c r="AF27" s="82">
        <f>J27/AH27*1000+AG20</f>
        <v>120.91362461170849</v>
      </c>
      <c r="AG27" s="83"/>
      <c r="AH27" s="27">
        <f t="shared" si="12"/>
        <v>540000</v>
      </c>
      <c r="AI27"/>
      <c r="AJ27" s="82">
        <f>J27/AL27*1000+AK20</f>
        <v>115.60238121109224</v>
      </c>
      <c r="AK27" s="83"/>
      <c r="AL27" s="27">
        <f t="shared" si="13"/>
        <v>570000</v>
      </c>
      <c r="AM27"/>
      <c r="AN27" s="82">
        <f>J27/AP27*1000+AO20</f>
        <v>96.845445348293595</v>
      </c>
      <c r="AO27" s="83"/>
      <c r="AP27" s="27">
        <f t="shared" si="14"/>
        <v>690000</v>
      </c>
      <c r="AQ27"/>
      <c r="AR27" s="82">
        <f>J27/AT27*1000+AS20</f>
        <v>93.935218458781364</v>
      </c>
      <c r="AS27" s="83"/>
      <c r="AT27" s="27">
        <f t="shared" si="15"/>
        <v>720000</v>
      </c>
      <c r="AU27"/>
      <c r="AV27" s="82">
        <f>J27/AX27*1000+AW20</f>
        <v>83.204537790244672</v>
      </c>
      <c r="AW27" s="83"/>
      <c r="AX27" s="27">
        <f t="shared" si="16"/>
        <v>828000</v>
      </c>
      <c r="AY27"/>
      <c r="AZ27" s="82">
        <f>J27/BB27*1000+BA20</f>
        <v>81.470113391984356</v>
      </c>
      <c r="BA27" s="83"/>
      <c r="BB27" s="27">
        <f t="shared" si="17"/>
        <v>858000</v>
      </c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</row>
    <row r="28" spans="1:76" s="11" customFormat="1" ht="30" customHeight="1" x14ac:dyDescent="0.35">
      <c r="A28"/>
      <c r="B28" s="35">
        <v>7000</v>
      </c>
      <c r="C28" s="13">
        <f>B28*C20</f>
        <v>46760.320645161293</v>
      </c>
      <c r="D28" s="12">
        <f t="shared" si="19"/>
        <v>4800</v>
      </c>
      <c r="E28" s="12">
        <f t="shared" ref="E28:E35" si="20">E27+250</f>
        <v>3350</v>
      </c>
      <c r="F28" s="14">
        <v>1750</v>
      </c>
      <c r="G28" s="14">
        <f>65*B28/1000*D20</f>
        <v>910</v>
      </c>
      <c r="H28" s="14">
        <f t="shared" si="18"/>
        <v>57570.320645161293</v>
      </c>
      <c r="I28" s="15">
        <f t="shared" si="5"/>
        <v>0.28999999999999992</v>
      </c>
      <c r="J28" s="36">
        <f t="shared" si="6"/>
        <v>74265.713632258063</v>
      </c>
      <c r="K28"/>
      <c r="L28" s="80">
        <f t="shared" si="0"/>
        <v>212.18775323502302</v>
      </c>
      <c r="M28" s="81"/>
      <c r="N28" s="26">
        <f t="shared" si="7"/>
        <v>350000</v>
      </c>
      <c r="O28"/>
      <c r="P28" s="80">
        <f t="shared" si="1"/>
        <v>200.17712569341793</v>
      </c>
      <c r="Q28" s="81"/>
      <c r="R28" s="26">
        <f t="shared" si="8"/>
        <v>371000</v>
      </c>
      <c r="S28"/>
      <c r="T28" s="80">
        <f t="shared" si="2"/>
        <v>147.35260641321042</v>
      </c>
      <c r="U28" s="81"/>
      <c r="V28" s="26">
        <f t="shared" si="9"/>
        <v>504000</v>
      </c>
      <c r="W28"/>
      <c r="X28" s="80">
        <f t="shared" si="3"/>
        <v>139.59720607567306</v>
      </c>
      <c r="Y28" s="81"/>
      <c r="Z28" s="26">
        <f t="shared" si="10"/>
        <v>532000</v>
      </c>
      <c r="AA28"/>
      <c r="AB28" s="80">
        <f t="shared" si="4"/>
        <v>141.59720607567306</v>
      </c>
      <c r="AC28" s="81"/>
      <c r="AD28" s="26">
        <f t="shared" si="11"/>
        <v>532000</v>
      </c>
      <c r="AE28"/>
      <c r="AF28" s="80">
        <f>J28/AH28*1000+AG20</f>
        <v>118.88208513056836</v>
      </c>
      <c r="AG28" s="81"/>
      <c r="AH28" s="26">
        <f t="shared" si="12"/>
        <v>630000</v>
      </c>
      <c r="AI28"/>
      <c r="AJ28" s="80">
        <f>J28/AL28*1000+AK20</f>
        <v>113.67776486053845</v>
      </c>
      <c r="AK28" s="81"/>
      <c r="AL28" s="26">
        <f t="shared" si="13"/>
        <v>665000</v>
      </c>
      <c r="AM28"/>
      <c r="AN28" s="80">
        <f>J28/AP28*1000+AO20</f>
        <v>95.255544884792627</v>
      </c>
      <c r="AO28" s="81"/>
      <c r="AP28" s="26">
        <f t="shared" si="14"/>
        <v>805000</v>
      </c>
      <c r="AQ28"/>
      <c r="AR28" s="80">
        <f>J28/AT28*1000+AS20</f>
        <v>92.411563847926274</v>
      </c>
      <c r="AS28" s="81"/>
      <c r="AT28" s="26">
        <f t="shared" si="15"/>
        <v>840000</v>
      </c>
      <c r="AU28"/>
      <c r="AV28" s="80">
        <f>J28/AX28*1000+AW20</f>
        <v>81.879620737327187</v>
      </c>
      <c r="AW28" s="81"/>
      <c r="AX28" s="26">
        <f t="shared" si="16"/>
        <v>966000</v>
      </c>
      <c r="AY28"/>
      <c r="AZ28" s="80">
        <f>J28/BB28*1000+BA20</f>
        <v>80.191522110147915</v>
      </c>
      <c r="BA28" s="81"/>
      <c r="BB28" s="26">
        <f t="shared" si="17"/>
        <v>1001000</v>
      </c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</row>
    <row r="29" spans="1:76" s="9" customFormat="1" ht="30" customHeight="1" x14ac:dyDescent="0.35">
      <c r="A29"/>
      <c r="B29" s="37">
        <v>8000</v>
      </c>
      <c r="C29" s="17">
        <f>B29*C20</f>
        <v>53440.366451612899</v>
      </c>
      <c r="D29" s="16">
        <f t="shared" si="19"/>
        <v>5250</v>
      </c>
      <c r="E29" s="16">
        <f t="shared" si="20"/>
        <v>3600</v>
      </c>
      <c r="F29" s="18">
        <v>2000</v>
      </c>
      <c r="G29" s="18">
        <f>65*B29/1000*D20</f>
        <v>1040</v>
      </c>
      <c r="H29" s="18">
        <f t="shared" si="18"/>
        <v>65330.366451612899</v>
      </c>
      <c r="I29" s="19">
        <f t="shared" si="5"/>
        <v>0.27999999999999992</v>
      </c>
      <c r="J29" s="38">
        <f t="shared" si="6"/>
        <v>83622.869058064505</v>
      </c>
      <c r="K29"/>
      <c r="L29" s="82">
        <f t="shared" si="0"/>
        <v>209.05717264516127</v>
      </c>
      <c r="M29" s="83"/>
      <c r="N29" s="27">
        <f t="shared" si="7"/>
        <v>400000</v>
      </c>
      <c r="O29"/>
      <c r="P29" s="82">
        <f t="shared" si="1"/>
        <v>197.22374777845403</v>
      </c>
      <c r="Q29" s="83"/>
      <c r="R29" s="27">
        <f t="shared" si="8"/>
        <v>424000</v>
      </c>
      <c r="S29"/>
      <c r="T29" s="82">
        <f t="shared" si="2"/>
        <v>145.17859211469533</v>
      </c>
      <c r="U29" s="83"/>
      <c r="V29" s="27">
        <f t="shared" si="9"/>
        <v>576000</v>
      </c>
      <c r="W29"/>
      <c r="X29" s="82">
        <f t="shared" si="3"/>
        <v>137.53761358234291</v>
      </c>
      <c r="Y29" s="83"/>
      <c r="Z29" s="27">
        <f t="shared" si="10"/>
        <v>608000</v>
      </c>
      <c r="AA29"/>
      <c r="AB29" s="82">
        <f t="shared" si="4"/>
        <v>139.53761358234291</v>
      </c>
      <c r="AC29" s="83"/>
      <c r="AD29" s="27">
        <f t="shared" si="11"/>
        <v>608000</v>
      </c>
      <c r="AE29"/>
      <c r="AF29" s="82">
        <f>J29/AH29*1000+AG20</f>
        <v>117.14287369175625</v>
      </c>
      <c r="AG29" s="83"/>
      <c r="AH29" s="27">
        <f t="shared" si="12"/>
        <v>720000</v>
      </c>
      <c r="AI29"/>
      <c r="AJ29" s="82">
        <f>J29/AL29*1000+AK20</f>
        <v>112.03009086587436</v>
      </c>
      <c r="AK29" s="83"/>
      <c r="AL29" s="27">
        <f t="shared" si="13"/>
        <v>760000</v>
      </c>
      <c r="AM29"/>
      <c r="AN29" s="82">
        <f>J29/AP29*1000+AO20</f>
        <v>93.894422889200555</v>
      </c>
      <c r="AO29" s="83"/>
      <c r="AP29" s="27">
        <f t="shared" si="14"/>
        <v>920000</v>
      </c>
      <c r="AQ29"/>
      <c r="AR29" s="82">
        <f>J29/AT29*1000+AS20</f>
        <v>91.107155268817195</v>
      </c>
      <c r="AS29" s="83"/>
      <c r="AT29" s="27">
        <f t="shared" si="15"/>
        <v>960000</v>
      </c>
      <c r="AU29"/>
      <c r="AV29" s="82">
        <f>J29/AX29*1000+AW20</f>
        <v>80.745352407667127</v>
      </c>
      <c r="AW29" s="83"/>
      <c r="AX29" s="27">
        <f t="shared" si="16"/>
        <v>1104000</v>
      </c>
      <c r="AY29"/>
      <c r="AZ29" s="82">
        <f>J29/BB29*1000+BA20</f>
        <v>79.096913512294151</v>
      </c>
      <c r="BA29" s="83"/>
      <c r="BB29" s="27">
        <f t="shared" si="17"/>
        <v>1144000</v>
      </c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</row>
    <row r="30" spans="1:76" s="11" customFormat="1" ht="30" customHeight="1" x14ac:dyDescent="0.35">
      <c r="A30"/>
      <c r="B30" s="35">
        <v>9000</v>
      </c>
      <c r="C30" s="13">
        <f>B30*C20</f>
        <v>60120.412258064513</v>
      </c>
      <c r="D30" s="12">
        <f t="shared" si="19"/>
        <v>5700</v>
      </c>
      <c r="E30" s="12">
        <f t="shared" si="20"/>
        <v>3850</v>
      </c>
      <c r="F30" s="14">
        <v>2250</v>
      </c>
      <c r="G30" s="14">
        <f>65*B30/1000*D20</f>
        <v>1170</v>
      </c>
      <c r="H30" s="14">
        <f t="shared" si="18"/>
        <v>73090.41225806452</v>
      </c>
      <c r="I30" s="15">
        <f t="shared" si="5"/>
        <v>0.26999999999999991</v>
      </c>
      <c r="J30" s="36">
        <f t="shared" si="6"/>
        <v>92824.823567741929</v>
      </c>
      <c r="K30"/>
      <c r="L30" s="80">
        <f t="shared" si="0"/>
        <v>206.27738570609316</v>
      </c>
      <c r="M30" s="81"/>
      <c r="N30" s="26">
        <f t="shared" si="7"/>
        <v>450000</v>
      </c>
      <c r="O30"/>
      <c r="P30" s="80">
        <f t="shared" si="1"/>
        <v>194.60130726989922</v>
      </c>
      <c r="Q30" s="81"/>
      <c r="R30" s="26">
        <f t="shared" si="8"/>
        <v>477000</v>
      </c>
      <c r="S30"/>
      <c r="T30" s="80">
        <f t="shared" si="2"/>
        <v>143.24818451812027</v>
      </c>
      <c r="U30" s="81"/>
      <c r="V30" s="26">
        <f t="shared" si="9"/>
        <v>648000</v>
      </c>
      <c r="W30"/>
      <c r="X30" s="80">
        <f t="shared" si="3"/>
        <v>135.70880638558759</v>
      </c>
      <c r="Y30" s="81"/>
      <c r="Z30" s="26">
        <f t="shared" si="10"/>
        <v>684000</v>
      </c>
      <c r="AA30"/>
      <c r="AB30" s="80">
        <f t="shared" si="4"/>
        <v>137.70880638558759</v>
      </c>
      <c r="AC30" s="81"/>
      <c r="AD30" s="26">
        <f t="shared" si="11"/>
        <v>684000</v>
      </c>
      <c r="AE30"/>
      <c r="AF30" s="80">
        <f>J30/AH30*1000+AG20</f>
        <v>115.59854761449621</v>
      </c>
      <c r="AG30" s="81"/>
      <c r="AH30" s="26">
        <f t="shared" si="12"/>
        <v>810000</v>
      </c>
      <c r="AI30"/>
      <c r="AJ30" s="80">
        <f>J30/AL30*1000+AK20</f>
        <v>110.5670451084701</v>
      </c>
      <c r="AK30" s="81"/>
      <c r="AL30" s="26">
        <f t="shared" si="13"/>
        <v>855000</v>
      </c>
      <c r="AM30"/>
      <c r="AN30" s="80">
        <f>J30/AP30*1000+AO20</f>
        <v>92.685819872214424</v>
      </c>
      <c r="AO30" s="81"/>
      <c r="AP30" s="26">
        <f t="shared" si="14"/>
        <v>1035000</v>
      </c>
      <c r="AQ30"/>
      <c r="AR30" s="80">
        <f>J30/AT30*1000+AS20</f>
        <v>89.948910710872156</v>
      </c>
      <c r="AS30" s="81"/>
      <c r="AT30" s="26">
        <f t="shared" si="15"/>
        <v>1080000</v>
      </c>
      <c r="AU30"/>
      <c r="AV30" s="80">
        <f>J30/AX30*1000+AW20</f>
        <v>79.738183226845351</v>
      </c>
      <c r="AW30" s="81"/>
      <c r="AX30" s="26">
        <f t="shared" si="16"/>
        <v>1242000</v>
      </c>
      <c r="AY30"/>
      <c r="AZ30" s="80">
        <f>J30/BB30*1000+BA20</f>
        <v>78.124960037095505</v>
      </c>
      <c r="BA30" s="81"/>
      <c r="BB30" s="26">
        <f t="shared" si="17"/>
        <v>1287000</v>
      </c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</row>
    <row r="31" spans="1:76" s="20" customFormat="1" ht="30" customHeight="1" x14ac:dyDescent="0.35">
      <c r="A31"/>
      <c r="B31" s="37">
        <v>10000</v>
      </c>
      <c r="C31" s="17">
        <f>B31*C20</f>
        <v>66800.458064516133</v>
      </c>
      <c r="D31" s="16">
        <f t="shared" si="19"/>
        <v>6150</v>
      </c>
      <c r="E31" s="16">
        <f t="shared" si="20"/>
        <v>4100</v>
      </c>
      <c r="F31" s="18">
        <v>2500</v>
      </c>
      <c r="G31" s="18">
        <f>65*B31/1000*D20</f>
        <v>1300</v>
      </c>
      <c r="H31" s="18">
        <f t="shared" si="18"/>
        <v>80850.458064516133</v>
      </c>
      <c r="I31" s="19">
        <f t="shared" ref="I31:I41" si="21">I30-0.01</f>
        <v>0.2599999999999999</v>
      </c>
      <c r="J31" s="38">
        <f t="shared" si="6"/>
        <v>101871.57716129032</v>
      </c>
      <c r="K31"/>
      <c r="L31" s="82">
        <f t="shared" si="0"/>
        <v>203.74315432258064</v>
      </c>
      <c r="M31" s="83"/>
      <c r="N31" s="27">
        <f t="shared" si="7"/>
        <v>500000</v>
      </c>
      <c r="O31"/>
      <c r="P31" s="82">
        <f t="shared" si="1"/>
        <v>192.2105229458308</v>
      </c>
      <c r="Q31" s="83"/>
      <c r="R31" s="27">
        <f t="shared" si="8"/>
        <v>530000</v>
      </c>
      <c r="S31"/>
      <c r="T31" s="82">
        <f t="shared" si="2"/>
        <v>141.4883016129032</v>
      </c>
      <c r="U31" s="83"/>
      <c r="V31" s="27">
        <f t="shared" si="9"/>
        <v>720000</v>
      </c>
      <c r="W31"/>
      <c r="X31" s="82">
        <f t="shared" si="3"/>
        <v>134.04154889643462</v>
      </c>
      <c r="Y31" s="83"/>
      <c r="Z31" s="27">
        <f t="shared" si="10"/>
        <v>760000</v>
      </c>
      <c r="AA31"/>
      <c r="AB31" s="82">
        <f t="shared" si="4"/>
        <v>136.04154889643462</v>
      </c>
      <c r="AC31" s="83"/>
      <c r="AD31" s="27">
        <f t="shared" si="11"/>
        <v>760000</v>
      </c>
      <c r="AE31"/>
      <c r="AF31" s="82">
        <f>J31/AH31*1000+AG20</f>
        <v>114.19064129032257</v>
      </c>
      <c r="AG31" s="83"/>
      <c r="AH31" s="27">
        <f t="shared" si="12"/>
        <v>900000</v>
      </c>
      <c r="AI31"/>
      <c r="AJ31" s="82">
        <f>J31/AL31*1000+AK20</f>
        <v>109.2332391171477</v>
      </c>
      <c r="AK31" s="83"/>
      <c r="AL31" s="27">
        <f t="shared" si="13"/>
        <v>950000</v>
      </c>
      <c r="AM31"/>
      <c r="AN31" s="82">
        <f>J31/AP31*1000+AO20</f>
        <v>91.58398014025245</v>
      </c>
      <c r="AO31" s="83"/>
      <c r="AP31" s="27">
        <f t="shared" si="14"/>
        <v>1150000</v>
      </c>
      <c r="AQ31"/>
      <c r="AR31" s="82">
        <f>J31/AT31*1000+AS20</f>
        <v>88.892980967741934</v>
      </c>
      <c r="AS31" s="83"/>
      <c r="AT31" s="27">
        <f t="shared" si="15"/>
        <v>1200000</v>
      </c>
      <c r="AU31"/>
      <c r="AV31" s="82">
        <f>J31/AX31*1000+AW20</f>
        <v>78.819983450210373</v>
      </c>
      <c r="AW31" s="83"/>
      <c r="AX31" s="27">
        <f t="shared" si="16"/>
        <v>1380000</v>
      </c>
      <c r="AY31"/>
      <c r="AZ31" s="82">
        <f>J31/BB31*1000+BA20</f>
        <v>77.238865147755476</v>
      </c>
      <c r="BA31" s="83"/>
      <c r="BB31" s="27">
        <f t="shared" si="17"/>
        <v>1430000</v>
      </c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</row>
    <row r="32" spans="1:76" s="11" customFormat="1" ht="30" customHeight="1" x14ac:dyDescent="0.35">
      <c r="A32"/>
      <c r="B32" s="35">
        <v>11000</v>
      </c>
      <c r="C32" s="13">
        <f>B32*C20</f>
        <v>73480.503870967746</v>
      </c>
      <c r="D32" s="12">
        <f t="shared" si="19"/>
        <v>6600</v>
      </c>
      <c r="E32" s="12">
        <f t="shared" si="20"/>
        <v>4350</v>
      </c>
      <c r="F32" s="14">
        <v>2750</v>
      </c>
      <c r="G32" s="14">
        <f>65*B32/1000*D20</f>
        <v>1430</v>
      </c>
      <c r="H32" s="14">
        <f t="shared" si="18"/>
        <v>88610.503870967746</v>
      </c>
      <c r="I32" s="15">
        <f>I31-0.01</f>
        <v>0.24999999999999989</v>
      </c>
      <c r="J32" s="36">
        <f t="shared" si="6"/>
        <v>110763.12983870968</v>
      </c>
      <c r="K32"/>
      <c r="L32" s="80">
        <f t="shared" si="0"/>
        <v>201.38750879765396</v>
      </c>
      <c r="M32" s="81"/>
      <c r="N32" s="26">
        <f t="shared" si="7"/>
        <v>550000</v>
      </c>
      <c r="O32"/>
      <c r="P32" s="80">
        <f t="shared" si="1"/>
        <v>189.98821584684336</v>
      </c>
      <c r="Q32" s="81"/>
      <c r="R32" s="26">
        <f t="shared" si="8"/>
        <v>583000</v>
      </c>
      <c r="S32"/>
      <c r="T32" s="80">
        <f t="shared" si="2"/>
        <v>139.85243666503746</v>
      </c>
      <c r="U32" s="81"/>
      <c r="V32" s="26">
        <f t="shared" si="9"/>
        <v>792000</v>
      </c>
      <c r="W32"/>
      <c r="X32" s="80">
        <f t="shared" si="3"/>
        <v>132.49178210371971</v>
      </c>
      <c r="Y32" s="81"/>
      <c r="Z32" s="26">
        <f t="shared" si="10"/>
        <v>836000</v>
      </c>
      <c r="AA32"/>
      <c r="AB32" s="80">
        <f t="shared" si="4"/>
        <v>134.49178210371971</v>
      </c>
      <c r="AC32" s="81"/>
      <c r="AD32" s="26">
        <f t="shared" si="11"/>
        <v>836000</v>
      </c>
      <c r="AE32"/>
      <c r="AF32" s="80">
        <f>J32/AH32*1000+AG20</f>
        <v>112.88194933202998</v>
      </c>
      <c r="AG32" s="81"/>
      <c r="AH32" s="26">
        <f t="shared" si="12"/>
        <v>990000</v>
      </c>
      <c r="AI32"/>
      <c r="AJ32" s="80">
        <f>J32/AL32*1000+AK20</f>
        <v>107.99342568297575</v>
      </c>
      <c r="AK32" s="81"/>
      <c r="AL32" s="26">
        <f t="shared" si="13"/>
        <v>1045000</v>
      </c>
      <c r="AM32"/>
      <c r="AN32" s="80">
        <f>J32/AP32*1000+AO20</f>
        <v>90.559786433762596</v>
      </c>
      <c r="AO32" s="81"/>
      <c r="AP32" s="26">
        <f t="shared" si="14"/>
        <v>1265000</v>
      </c>
      <c r="AQ32"/>
      <c r="AR32" s="80">
        <f>J32/AT32*1000+AS20</f>
        <v>87.911461999022478</v>
      </c>
      <c r="AS32" s="81"/>
      <c r="AT32" s="26">
        <f t="shared" si="15"/>
        <v>1320000</v>
      </c>
      <c r="AU32"/>
      <c r="AV32" s="80">
        <f>J32/AX32*1000+AW20</f>
        <v>77.966488694802152</v>
      </c>
      <c r="AW32" s="81"/>
      <c r="AX32" s="26">
        <f t="shared" si="16"/>
        <v>1518000</v>
      </c>
      <c r="AY32"/>
      <c r="AZ32" s="80">
        <f>J32/BB32*1000+BA20</f>
        <v>76.415212866312572</v>
      </c>
      <c r="BA32" s="81"/>
      <c r="BB32" s="26">
        <f t="shared" si="17"/>
        <v>1573000</v>
      </c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</row>
    <row r="33" spans="1:76" s="9" customFormat="1" ht="30" customHeight="1" x14ac:dyDescent="0.35">
      <c r="A33"/>
      <c r="B33" s="37">
        <v>12000</v>
      </c>
      <c r="C33" s="17">
        <f>B33*C20</f>
        <v>80160.54967741936</v>
      </c>
      <c r="D33" s="16">
        <f t="shared" si="19"/>
        <v>7050</v>
      </c>
      <c r="E33" s="16">
        <f>E32+250</f>
        <v>4600</v>
      </c>
      <c r="F33" s="18">
        <v>3000</v>
      </c>
      <c r="G33" s="18">
        <f>65*B33/1000*D20</f>
        <v>1560</v>
      </c>
      <c r="H33" s="18">
        <f t="shared" si="18"/>
        <v>96370.54967741936</v>
      </c>
      <c r="I33" s="19">
        <f>I32-0.01</f>
        <v>0.23999999999999988</v>
      </c>
      <c r="J33" s="38">
        <f t="shared" si="6"/>
        <v>119499.4816</v>
      </c>
      <c r="K33"/>
      <c r="L33" s="82">
        <f t="shared" si="0"/>
        <v>199.16580266666668</v>
      </c>
      <c r="M33" s="83"/>
      <c r="N33" s="27">
        <f t="shared" si="7"/>
        <v>600000</v>
      </c>
      <c r="O33"/>
      <c r="P33" s="82">
        <f t="shared" si="1"/>
        <v>187.89226666666667</v>
      </c>
      <c r="Q33" s="83"/>
      <c r="R33" s="27">
        <f t="shared" si="8"/>
        <v>636000</v>
      </c>
      <c r="S33"/>
      <c r="T33" s="82">
        <f t="shared" si="2"/>
        <v>138.3095851851852</v>
      </c>
      <c r="U33" s="83"/>
      <c r="V33" s="27">
        <f t="shared" si="9"/>
        <v>864000</v>
      </c>
      <c r="W33"/>
      <c r="X33" s="82">
        <f t="shared" si="3"/>
        <v>131.03013333333334</v>
      </c>
      <c r="Y33" s="83"/>
      <c r="Z33" s="27">
        <f t="shared" si="10"/>
        <v>912000</v>
      </c>
      <c r="AA33"/>
      <c r="AB33" s="82">
        <f t="shared" si="4"/>
        <v>133.03013333333334</v>
      </c>
      <c r="AC33" s="83"/>
      <c r="AD33" s="27">
        <f t="shared" si="11"/>
        <v>912000</v>
      </c>
      <c r="AE33"/>
      <c r="AF33" s="82">
        <f>J33/AH33*1000+AG20</f>
        <v>111.64766814814816</v>
      </c>
      <c r="AG33" s="83"/>
      <c r="AH33" s="27">
        <f t="shared" si="12"/>
        <v>1080000</v>
      </c>
      <c r="AI33"/>
      <c r="AJ33" s="82">
        <f>J33/AL33*1000+AK20</f>
        <v>106.82410666666667</v>
      </c>
      <c r="AK33" s="83"/>
      <c r="AL33" s="27">
        <f t="shared" si="13"/>
        <v>1140000</v>
      </c>
      <c r="AM33"/>
      <c r="AN33" s="82">
        <f>J33/AP33*1000+AO20</f>
        <v>89.593827246376804</v>
      </c>
      <c r="AO33" s="83"/>
      <c r="AP33" s="27">
        <f t="shared" si="14"/>
        <v>1380000</v>
      </c>
      <c r="AQ33"/>
      <c r="AR33" s="82">
        <f>J33/AT33*1000+AS20</f>
        <v>86.985751111111114</v>
      </c>
      <c r="AS33" s="83"/>
      <c r="AT33" s="27">
        <f t="shared" si="15"/>
        <v>1440000</v>
      </c>
      <c r="AU33"/>
      <c r="AV33" s="82">
        <f>J33/AX33*1000+AW20</f>
        <v>77.161522705314013</v>
      </c>
      <c r="AW33" s="83"/>
      <c r="AX33" s="27">
        <f t="shared" si="16"/>
        <v>1656000</v>
      </c>
      <c r="AY33"/>
      <c r="AZ33" s="82">
        <f>J33/BB33*1000+BA20</f>
        <v>75.638392540792537</v>
      </c>
      <c r="BA33" s="83"/>
      <c r="BB33" s="27">
        <f t="shared" si="17"/>
        <v>1716000</v>
      </c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</row>
    <row r="34" spans="1:76" s="11" customFormat="1" ht="30" customHeight="1" x14ac:dyDescent="0.35">
      <c r="A34"/>
      <c r="B34" s="35">
        <v>13000</v>
      </c>
      <c r="C34" s="13">
        <f>B34*C20</f>
        <v>86840.595483870973</v>
      </c>
      <c r="D34" s="12">
        <f t="shared" si="19"/>
        <v>7500</v>
      </c>
      <c r="E34" s="12">
        <f t="shared" si="20"/>
        <v>4850</v>
      </c>
      <c r="F34" s="14">
        <v>3250</v>
      </c>
      <c r="G34" s="14">
        <f>65*B34/1000*D20</f>
        <v>1690</v>
      </c>
      <c r="H34" s="14">
        <f t="shared" si="18"/>
        <v>104130.59548387097</v>
      </c>
      <c r="I34" s="15">
        <f>I33-0.01</f>
        <v>0.22999999999999987</v>
      </c>
      <c r="J34" s="36">
        <f t="shared" si="6"/>
        <v>128080.63244516129</v>
      </c>
      <c r="K34"/>
      <c r="L34" s="80">
        <f t="shared" si="0"/>
        <v>197.04712683870969</v>
      </c>
      <c r="M34" s="81"/>
      <c r="N34" s="26">
        <f t="shared" si="7"/>
        <v>650000</v>
      </c>
      <c r="O34"/>
      <c r="P34" s="80">
        <f t="shared" si="1"/>
        <v>185.89351588557517</v>
      </c>
      <c r="Q34" s="81"/>
      <c r="R34" s="26">
        <f t="shared" si="8"/>
        <v>689000</v>
      </c>
      <c r="S34"/>
      <c r="T34" s="80">
        <f t="shared" si="2"/>
        <v>136.8382825268817</v>
      </c>
      <c r="U34" s="81"/>
      <c r="V34" s="26">
        <f t="shared" si="9"/>
        <v>936000</v>
      </c>
      <c r="W34"/>
      <c r="X34" s="80">
        <f t="shared" si="3"/>
        <v>129.63626765704583</v>
      </c>
      <c r="Y34" s="81"/>
      <c r="Z34" s="26">
        <f t="shared" si="10"/>
        <v>988000</v>
      </c>
      <c r="AA34"/>
      <c r="AB34" s="80">
        <f t="shared" si="4"/>
        <v>131.63626765704583</v>
      </c>
      <c r="AC34" s="81"/>
      <c r="AD34" s="26">
        <f t="shared" si="11"/>
        <v>988000</v>
      </c>
      <c r="AE34"/>
      <c r="AF34" s="80">
        <f>J34/AH34*1000+AG20</f>
        <v>110.47062602150537</v>
      </c>
      <c r="AG34" s="81"/>
      <c r="AH34" s="26">
        <f t="shared" si="12"/>
        <v>1170000</v>
      </c>
      <c r="AI34"/>
      <c r="AJ34" s="80">
        <f>J34/AL34*1000+AK20</f>
        <v>105.70901412563667</v>
      </c>
      <c r="AK34" s="81"/>
      <c r="AL34" s="26">
        <f t="shared" si="13"/>
        <v>1235000</v>
      </c>
      <c r="AM34"/>
      <c r="AN34" s="80">
        <f>J34/AP34*1000+AO20</f>
        <v>88.672663842917245</v>
      </c>
      <c r="AO34" s="81"/>
      <c r="AP34" s="26">
        <f t="shared" si="14"/>
        <v>1495000</v>
      </c>
      <c r="AQ34"/>
      <c r="AR34" s="80">
        <f>J34/AT34*1000+AS20</f>
        <v>86.102969516129022</v>
      </c>
      <c r="AS34" s="81"/>
      <c r="AT34" s="26">
        <f t="shared" si="15"/>
        <v>1560000</v>
      </c>
      <c r="AU34"/>
      <c r="AV34" s="80">
        <f>J34/AX34*1000+AW20</f>
        <v>76.393886535764381</v>
      </c>
      <c r="AW34" s="81"/>
      <c r="AX34" s="26">
        <f t="shared" si="16"/>
        <v>1794000</v>
      </c>
      <c r="AY34"/>
      <c r="AZ34" s="80">
        <f>J34/BB34*1000+BA20</f>
        <v>74.897596796751628</v>
      </c>
      <c r="BA34" s="81"/>
      <c r="BB34" s="26">
        <f t="shared" si="17"/>
        <v>1859000</v>
      </c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</row>
    <row r="35" spans="1:76" s="9" customFormat="1" ht="30" customHeight="1" x14ac:dyDescent="0.35">
      <c r="A35"/>
      <c r="B35" s="37">
        <v>14000</v>
      </c>
      <c r="C35" s="17">
        <f>B35*C20</f>
        <v>93520.641290322586</v>
      </c>
      <c r="D35" s="16">
        <f t="shared" si="19"/>
        <v>7950</v>
      </c>
      <c r="E35" s="16">
        <f t="shared" si="20"/>
        <v>5100</v>
      </c>
      <c r="F35" s="18">
        <v>3500</v>
      </c>
      <c r="G35" s="18">
        <f>65*B35/1000*D20</f>
        <v>1820</v>
      </c>
      <c r="H35" s="18">
        <f t="shared" si="18"/>
        <v>111890.64129032259</v>
      </c>
      <c r="I35" s="19">
        <f>I34-0.01</f>
        <v>0.21999999999999986</v>
      </c>
      <c r="J35" s="38">
        <f t="shared" si="6"/>
        <v>136506.58237419353</v>
      </c>
      <c r="K35"/>
      <c r="L35" s="82">
        <f t="shared" si="0"/>
        <v>195.00940339170506</v>
      </c>
      <c r="M35" s="83"/>
      <c r="N35" s="27">
        <f t="shared" si="7"/>
        <v>700000</v>
      </c>
      <c r="O35"/>
      <c r="P35" s="82">
        <f t="shared" si="1"/>
        <v>183.97113527519343</v>
      </c>
      <c r="Q35" s="83"/>
      <c r="R35" s="27">
        <f t="shared" si="8"/>
        <v>742000</v>
      </c>
      <c r="S35"/>
      <c r="T35" s="82">
        <f t="shared" si="2"/>
        <v>135.42319679979516</v>
      </c>
      <c r="U35" s="83"/>
      <c r="V35" s="27">
        <f t="shared" si="9"/>
        <v>1008000</v>
      </c>
      <c r="W35"/>
      <c r="X35" s="82">
        <f t="shared" si="3"/>
        <v>128.29566012612173</v>
      </c>
      <c r="Y35" s="83"/>
      <c r="Z35" s="27">
        <f t="shared" si="10"/>
        <v>1064000</v>
      </c>
      <c r="AA35"/>
      <c r="AB35" s="82">
        <f t="shared" si="4"/>
        <v>130.29566012612173</v>
      </c>
      <c r="AC35" s="83"/>
      <c r="AD35" s="27">
        <f t="shared" si="11"/>
        <v>1064000</v>
      </c>
      <c r="AE35"/>
      <c r="AF35" s="82">
        <f>J35/AH35*1000+AG20</f>
        <v>109.33855743983614</v>
      </c>
      <c r="AG35" s="83"/>
      <c r="AH35" s="27">
        <f t="shared" si="12"/>
        <v>1260000</v>
      </c>
      <c r="AI35"/>
      <c r="AJ35" s="82">
        <f>J35/AL35*1000+AK20</f>
        <v>104.63652810089739</v>
      </c>
      <c r="AK35" s="83"/>
      <c r="AL35" s="27">
        <f t="shared" si="13"/>
        <v>1330000</v>
      </c>
      <c r="AM35"/>
      <c r="AN35" s="82">
        <f>J35/AP35*1000+AO20</f>
        <v>87.786697126828273</v>
      </c>
      <c r="AO35" s="83"/>
      <c r="AP35" s="27">
        <f t="shared" si="14"/>
        <v>1610000</v>
      </c>
      <c r="AQ35"/>
      <c r="AR35" s="82">
        <f>J35/AT35*1000+AS20</f>
        <v>85.253918079877096</v>
      </c>
      <c r="AS35" s="83"/>
      <c r="AT35" s="27">
        <f t="shared" si="15"/>
        <v>1680000</v>
      </c>
      <c r="AU35"/>
      <c r="AV35" s="82">
        <f>J35/AX35*1000+AW20</f>
        <v>75.655580939023565</v>
      </c>
      <c r="AW35" s="83"/>
      <c r="AX35" s="27">
        <f t="shared" si="16"/>
        <v>1932000</v>
      </c>
      <c r="AY35"/>
      <c r="AZ35" s="82">
        <f>J35/BB35*1000+BA20</f>
        <v>74.185106081015746</v>
      </c>
      <c r="BA35" s="83"/>
      <c r="BB35" s="27">
        <f t="shared" si="17"/>
        <v>2002000</v>
      </c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</row>
    <row r="36" spans="1:76" s="11" customFormat="1" ht="30" customHeight="1" x14ac:dyDescent="0.35">
      <c r="A36"/>
      <c r="B36" s="35">
        <v>15000</v>
      </c>
      <c r="C36" s="13">
        <f>B36*C20</f>
        <v>100200.6870967742</v>
      </c>
      <c r="D36" s="12">
        <f>3000+450*B33/1000</f>
        <v>8400</v>
      </c>
      <c r="E36" s="12">
        <f>E35+250</f>
        <v>5350</v>
      </c>
      <c r="F36" s="14">
        <v>3750</v>
      </c>
      <c r="G36" s="14">
        <f>65*B36/1000*D20</f>
        <v>1950</v>
      </c>
      <c r="H36" s="14">
        <f t="shared" si="18"/>
        <v>119650.6870967742</v>
      </c>
      <c r="I36" s="15">
        <f t="shared" si="21"/>
        <v>0.20999999999999985</v>
      </c>
      <c r="J36" s="36">
        <f>SUM(H36*I36)+H36</f>
        <v>144777.33138709675</v>
      </c>
      <c r="K36"/>
      <c r="L36" s="80">
        <f t="shared" si="0"/>
        <v>193.03644184946234</v>
      </c>
      <c r="M36" s="81"/>
      <c r="N36" s="26">
        <f t="shared" si="7"/>
        <v>750000</v>
      </c>
      <c r="O36"/>
      <c r="P36" s="80">
        <f t="shared" si="1"/>
        <v>182.10985080137957</v>
      </c>
      <c r="Q36" s="81"/>
      <c r="R36" s="26">
        <f t="shared" si="8"/>
        <v>795000</v>
      </c>
      <c r="S36"/>
      <c r="T36" s="80">
        <f t="shared" si="2"/>
        <v>134.05308461768217</v>
      </c>
      <c r="U36" s="81"/>
      <c r="V36" s="26">
        <f t="shared" si="9"/>
        <v>1080000</v>
      </c>
      <c r="W36"/>
      <c r="X36" s="80">
        <f t="shared" si="3"/>
        <v>126.99765911148839</v>
      </c>
      <c r="Y36" s="81"/>
      <c r="Z36" s="26">
        <f t="shared" si="10"/>
        <v>1140000</v>
      </c>
      <c r="AA36"/>
      <c r="AB36" s="80">
        <f t="shared" si="4"/>
        <v>128.99765911148839</v>
      </c>
      <c r="AC36" s="81"/>
      <c r="AD36" s="26">
        <f t="shared" si="11"/>
        <v>1140000</v>
      </c>
      <c r="AE36"/>
      <c r="AF36" s="80">
        <f>J36/AH36*1000+AG20</f>
        <v>108.24246769414574</v>
      </c>
      <c r="AG36" s="81"/>
      <c r="AH36" s="26">
        <f t="shared" si="12"/>
        <v>1350000</v>
      </c>
      <c r="AI36"/>
      <c r="AJ36" s="80">
        <f>J36/AL36*1000+AK20</f>
        <v>103.59812728919071</v>
      </c>
      <c r="AK36" s="81"/>
      <c r="AL36" s="26">
        <f t="shared" si="13"/>
        <v>1425000</v>
      </c>
      <c r="AM36"/>
      <c r="AN36" s="80">
        <f>J36/AP36*1000+AO20</f>
        <v>86.928887760635803</v>
      </c>
      <c r="AO36" s="81"/>
      <c r="AP36" s="26">
        <f t="shared" si="14"/>
        <v>1725000</v>
      </c>
      <c r="AQ36"/>
      <c r="AR36" s="80">
        <f>J36/AT36*1000+AS20</f>
        <v>84.431850770609316</v>
      </c>
      <c r="AS36" s="81"/>
      <c r="AT36" s="26">
        <f t="shared" si="15"/>
        <v>1800000</v>
      </c>
      <c r="AU36"/>
      <c r="AV36" s="80">
        <f>J36/AX36*1000+AW20</f>
        <v>74.94073980052984</v>
      </c>
      <c r="AW36" s="81"/>
      <c r="AX36" s="26">
        <f t="shared" si="16"/>
        <v>2070000</v>
      </c>
      <c r="AY36"/>
      <c r="AZ36" s="80">
        <f>J36/BB36*1000+BA20</f>
        <v>73.495259387923895</v>
      </c>
      <c r="BA36" s="81"/>
      <c r="BB36" s="26">
        <f t="shared" si="17"/>
        <v>2145000</v>
      </c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</row>
    <row r="37" spans="1:76" s="9" customFormat="1" ht="30" customHeight="1" x14ac:dyDescent="0.35">
      <c r="A37"/>
      <c r="B37" s="37">
        <v>16000</v>
      </c>
      <c r="C37" s="17">
        <f>B37*C20</f>
        <v>106880.7329032258</v>
      </c>
      <c r="D37" s="16">
        <f t="shared" si="19"/>
        <v>8850</v>
      </c>
      <c r="E37" s="16">
        <f>E36+250</f>
        <v>5600</v>
      </c>
      <c r="F37" s="18">
        <v>4000</v>
      </c>
      <c r="G37" s="18">
        <f>65*B37/1000*D20</f>
        <v>2080</v>
      </c>
      <c r="H37" s="18">
        <f t="shared" si="18"/>
        <v>127410.7329032258</v>
      </c>
      <c r="I37" s="19">
        <f t="shared" si="21"/>
        <v>0.19999999999999984</v>
      </c>
      <c r="J37" s="38">
        <f t="shared" si="6"/>
        <v>152892.87948387093</v>
      </c>
      <c r="K37"/>
      <c r="L37" s="82">
        <f t="shared" si="0"/>
        <v>191.11609935483867</v>
      </c>
      <c r="M37" s="83"/>
      <c r="N37" s="27">
        <f t="shared" si="7"/>
        <v>800000</v>
      </c>
      <c r="O37"/>
      <c r="P37" s="82">
        <f t="shared" si="1"/>
        <v>180.29820693852704</v>
      </c>
      <c r="Q37" s="83"/>
      <c r="R37" s="27">
        <f t="shared" si="8"/>
        <v>848000</v>
      </c>
      <c r="S37"/>
      <c r="T37" s="82">
        <f t="shared" si="2"/>
        <v>132.7195134408602</v>
      </c>
      <c r="U37" s="83"/>
      <c r="V37" s="27">
        <f t="shared" si="9"/>
        <v>1152000</v>
      </c>
      <c r="W37"/>
      <c r="X37" s="82">
        <f t="shared" si="3"/>
        <v>125.73427589134123</v>
      </c>
      <c r="Y37" s="83"/>
      <c r="Z37" s="27">
        <f t="shared" si="10"/>
        <v>1216000</v>
      </c>
      <c r="AA37"/>
      <c r="AB37" s="82">
        <f t="shared" si="4"/>
        <v>127.73427589134123</v>
      </c>
      <c r="AC37" s="83"/>
      <c r="AD37" s="27">
        <f t="shared" si="11"/>
        <v>1216000</v>
      </c>
      <c r="AE37"/>
      <c r="AF37" s="82">
        <f>J37/AH37*1000+AG20</f>
        <v>107.17561075268816</v>
      </c>
      <c r="AG37" s="83"/>
      <c r="AH37" s="27">
        <f t="shared" si="12"/>
        <v>1440000</v>
      </c>
      <c r="AI37"/>
      <c r="AJ37" s="82">
        <f>J37/AL37*1000+AK20</f>
        <v>102.58742071307299</v>
      </c>
      <c r="AK37" s="83"/>
      <c r="AL37" s="27">
        <f t="shared" si="13"/>
        <v>1520000</v>
      </c>
      <c r="AM37"/>
      <c r="AN37" s="82">
        <f>J37/AP37*1000+AO20</f>
        <v>86.093956241234196</v>
      </c>
      <c r="AO37" s="83"/>
      <c r="AP37" s="27">
        <f t="shared" si="14"/>
        <v>1840000</v>
      </c>
      <c r="AQ37"/>
      <c r="AR37" s="82">
        <f>J37/AT37*1000+AS20</f>
        <v>83.631708064516104</v>
      </c>
      <c r="AS37" s="83"/>
      <c r="AT37" s="27">
        <f t="shared" si="15"/>
        <v>1920000</v>
      </c>
      <c r="AU37"/>
      <c r="AV37" s="82">
        <f>J37/AX37*1000+AW20</f>
        <v>74.244963534361844</v>
      </c>
      <c r="AW37" s="83"/>
      <c r="AX37" s="27">
        <f t="shared" si="16"/>
        <v>2208000</v>
      </c>
      <c r="AY37"/>
      <c r="AZ37" s="82">
        <f>J37/BB37*1000+BA20</f>
        <v>72.823810963230301</v>
      </c>
      <c r="BA37" s="83"/>
      <c r="BB37" s="27">
        <f t="shared" si="17"/>
        <v>2288000</v>
      </c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</row>
    <row r="38" spans="1:76" s="11" customFormat="1" ht="30" customHeight="1" x14ac:dyDescent="0.35">
      <c r="A38"/>
      <c r="B38" s="35">
        <v>17000</v>
      </c>
      <c r="C38" s="13">
        <f>B38*C20</f>
        <v>113560.77870967741</v>
      </c>
      <c r="D38" s="12">
        <f t="shared" si="19"/>
        <v>9300</v>
      </c>
      <c r="E38" s="12">
        <f>E37+225</f>
        <v>5825</v>
      </c>
      <c r="F38" s="14">
        <v>4250</v>
      </c>
      <c r="G38" s="14">
        <f>65*B38/1000*D20</f>
        <v>2210</v>
      </c>
      <c r="H38" s="14">
        <f t="shared" si="18"/>
        <v>135145.7787096774</v>
      </c>
      <c r="I38" s="15">
        <f t="shared" si="21"/>
        <v>0.18999999999999984</v>
      </c>
      <c r="J38" s="36">
        <f t="shared" si="6"/>
        <v>160823.47666451609</v>
      </c>
      <c r="K38"/>
      <c r="L38" s="80">
        <f t="shared" si="0"/>
        <v>189.20409019354832</v>
      </c>
      <c r="M38" s="81"/>
      <c r="N38" s="26">
        <f t="shared" si="7"/>
        <v>850000</v>
      </c>
      <c r="O38"/>
      <c r="P38" s="80">
        <f t="shared" si="1"/>
        <v>178.49442471089466</v>
      </c>
      <c r="Q38" s="81"/>
      <c r="R38" s="26">
        <f t="shared" si="8"/>
        <v>901000</v>
      </c>
      <c r="S38"/>
      <c r="T38" s="80">
        <f t="shared" si="2"/>
        <v>131.39172930107523</v>
      </c>
      <c r="U38" s="81"/>
      <c r="V38" s="26">
        <f t="shared" si="9"/>
        <v>1224000</v>
      </c>
      <c r="W38"/>
      <c r="X38" s="80">
        <f t="shared" si="3"/>
        <v>124.47637512733444</v>
      </c>
      <c r="Y38" s="81"/>
      <c r="Z38" s="26">
        <f t="shared" si="10"/>
        <v>1292000</v>
      </c>
      <c r="AA38"/>
      <c r="AB38" s="80">
        <f t="shared" si="4"/>
        <v>126.47637512733444</v>
      </c>
      <c r="AC38" s="81"/>
      <c r="AD38" s="26">
        <f t="shared" si="11"/>
        <v>1292000</v>
      </c>
      <c r="AE38"/>
      <c r="AF38" s="80">
        <f>J38/AH38*1000+AG20</f>
        <v>106.11338344086019</v>
      </c>
      <c r="AG38" s="81"/>
      <c r="AH38" s="26">
        <f t="shared" si="12"/>
        <v>1530000</v>
      </c>
      <c r="AI38"/>
      <c r="AJ38" s="80">
        <f>J38/AL38*1000+AK20</f>
        <v>101.58110010186755</v>
      </c>
      <c r="AK38" s="81"/>
      <c r="AL38" s="26">
        <f t="shared" si="13"/>
        <v>1615000</v>
      </c>
      <c r="AM38"/>
      <c r="AN38" s="80">
        <f>J38/AP38*1000+AO20</f>
        <v>85.2626479102384</v>
      </c>
      <c r="AO38" s="81"/>
      <c r="AP38" s="26">
        <f t="shared" si="14"/>
        <v>1955000</v>
      </c>
      <c r="AQ38"/>
      <c r="AR38" s="80">
        <f>J38/AT38*1000+AS20</f>
        <v>82.835037580645135</v>
      </c>
      <c r="AS38" s="81"/>
      <c r="AT38" s="26">
        <f t="shared" si="15"/>
        <v>2040000</v>
      </c>
      <c r="AU38"/>
      <c r="AV38" s="80">
        <f>J38/AX38*1000+AW20</f>
        <v>73.552206591865342</v>
      </c>
      <c r="AW38" s="81"/>
      <c r="AX38" s="26">
        <f t="shared" si="16"/>
        <v>2346000</v>
      </c>
      <c r="AY38"/>
      <c r="AZ38" s="80">
        <f>J38/BB38*1000+BA20</f>
        <v>72.155276291450477</v>
      </c>
      <c r="BA38" s="81"/>
      <c r="BB38" s="26">
        <f t="shared" si="17"/>
        <v>2431000</v>
      </c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</row>
    <row r="39" spans="1:76" s="9" customFormat="1" ht="30" customHeight="1" x14ac:dyDescent="0.35">
      <c r="A39"/>
      <c r="B39" s="37">
        <v>18000</v>
      </c>
      <c r="C39" s="17">
        <f>B39*C20</f>
        <v>120240.82451612903</v>
      </c>
      <c r="D39" s="16">
        <f t="shared" si="19"/>
        <v>9750</v>
      </c>
      <c r="E39" s="16">
        <f>E38+225</f>
        <v>6050</v>
      </c>
      <c r="F39" s="18">
        <v>4500</v>
      </c>
      <c r="G39" s="18">
        <f>65*B39/1000*D20</f>
        <v>2340</v>
      </c>
      <c r="H39" s="18">
        <f t="shared" si="18"/>
        <v>142880.82451612904</v>
      </c>
      <c r="I39" s="19">
        <f t="shared" si="21"/>
        <v>0.17999999999999983</v>
      </c>
      <c r="J39" s="38">
        <f t="shared" si="6"/>
        <v>168599.37292903225</v>
      </c>
      <c r="K39"/>
      <c r="L39" s="82">
        <f t="shared" si="0"/>
        <v>187.3326365878136</v>
      </c>
      <c r="M39" s="83"/>
      <c r="N39" s="27">
        <f t="shared" si="7"/>
        <v>900000</v>
      </c>
      <c r="O39"/>
      <c r="P39" s="82">
        <f t="shared" si="1"/>
        <v>176.72890244133359</v>
      </c>
      <c r="Q39" s="83"/>
      <c r="R39" s="27">
        <f t="shared" si="8"/>
        <v>954000</v>
      </c>
      <c r="S39"/>
      <c r="T39" s="82">
        <f t="shared" si="2"/>
        <v>130.09210874153723</v>
      </c>
      <c r="U39" s="83"/>
      <c r="V39" s="27">
        <f t="shared" si="9"/>
        <v>1296000</v>
      </c>
      <c r="W39"/>
      <c r="X39" s="82">
        <f t="shared" si="3"/>
        <v>123.24515564987739</v>
      </c>
      <c r="Y39" s="83"/>
      <c r="Z39" s="27">
        <f t="shared" si="10"/>
        <v>1368000</v>
      </c>
      <c r="AA39"/>
      <c r="AB39" s="82">
        <f t="shared" si="4"/>
        <v>125.24515564987739</v>
      </c>
      <c r="AC39" s="83"/>
      <c r="AD39" s="27">
        <f t="shared" si="11"/>
        <v>1368000</v>
      </c>
      <c r="AE39"/>
      <c r="AF39" s="82">
        <f>J39/AH39*1000+AG20</f>
        <v>105.07368699322979</v>
      </c>
      <c r="AG39" s="83"/>
      <c r="AH39" s="27">
        <f t="shared" si="12"/>
        <v>1620000</v>
      </c>
      <c r="AI39"/>
      <c r="AJ39" s="82">
        <f>J39/AL39*1000+AK20</f>
        <v>100.59612451990191</v>
      </c>
      <c r="AK39" s="83"/>
      <c r="AL39" s="27">
        <f t="shared" si="13"/>
        <v>1710000</v>
      </c>
      <c r="AM39"/>
      <c r="AN39" s="82">
        <f>J39/AP39*1000+AO20</f>
        <v>84.448972429484172</v>
      </c>
      <c r="AO39" s="83"/>
      <c r="AP39" s="27">
        <f t="shared" si="14"/>
        <v>2070000</v>
      </c>
      <c r="AQ39"/>
      <c r="AR39" s="82">
        <f>J39/AT39*1000+AS20</f>
        <v>82.055265244922339</v>
      </c>
      <c r="AS39" s="83"/>
      <c r="AT39" s="27">
        <f t="shared" si="15"/>
        <v>2160000</v>
      </c>
      <c r="AU39"/>
      <c r="AV39" s="82">
        <f>J39/AX39*1000+AW20</f>
        <v>72.87414369123681</v>
      </c>
      <c r="AW39" s="83"/>
      <c r="AX39" s="27">
        <f t="shared" si="16"/>
        <v>2484000</v>
      </c>
      <c r="AY39"/>
      <c r="AZ39" s="82">
        <f>J39/BB39*1000+BA20</f>
        <v>71.500921883850907</v>
      </c>
      <c r="BA39" s="83"/>
      <c r="BB39" s="27">
        <f t="shared" si="17"/>
        <v>2574000</v>
      </c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</row>
    <row r="40" spans="1:76" s="11" customFormat="1" ht="30" customHeight="1" x14ac:dyDescent="0.35">
      <c r="A40"/>
      <c r="B40" s="35">
        <v>19000</v>
      </c>
      <c r="C40" s="13">
        <f>B40*C20</f>
        <v>126920.87032258064</v>
      </c>
      <c r="D40" s="12">
        <f t="shared" si="19"/>
        <v>10200</v>
      </c>
      <c r="E40" s="12">
        <f>E39+225</f>
        <v>6275</v>
      </c>
      <c r="F40" s="14">
        <v>4750</v>
      </c>
      <c r="G40" s="14">
        <f>65*B40/1000*D20</f>
        <v>2470</v>
      </c>
      <c r="H40" s="14">
        <f t="shared" si="18"/>
        <v>150615.87032258062</v>
      </c>
      <c r="I40" s="15">
        <f t="shared" si="21"/>
        <v>0.16999999999999982</v>
      </c>
      <c r="J40" s="36">
        <f t="shared" si="6"/>
        <v>176220.56827741931</v>
      </c>
      <c r="K40"/>
      <c r="L40" s="80">
        <f t="shared" si="0"/>
        <v>185.49533502886243</v>
      </c>
      <c r="M40" s="81"/>
      <c r="N40" s="26">
        <f t="shared" si="7"/>
        <v>950000</v>
      </c>
      <c r="O40"/>
      <c r="P40" s="80">
        <f t="shared" si="1"/>
        <v>174.9955990838325</v>
      </c>
      <c r="Q40" s="81"/>
      <c r="R40" s="26">
        <f t="shared" si="8"/>
        <v>1007000</v>
      </c>
      <c r="S40"/>
      <c r="T40" s="80">
        <f t="shared" si="2"/>
        <v>128.81620488115448</v>
      </c>
      <c r="U40" s="81"/>
      <c r="V40" s="26">
        <f t="shared" si="9"/>
        <v>1368000</v>
      </c>
      <c r="W40"/>
      <c r="X40" s="80">
        <f t="shared" si="3"/>
        <v>122.0364046242516</v>
      </c>
      <c r="Y40" s="81"/>
      <c r="Z40" s="26">
        <f t="shared" si="10"/>
        <v>1444000</v>
      </c>
      <c r="AA40"/>
      <c r="AB40" s="80">
        <f t="shared" si="4"/>
        <v>124.0364046242516</v>
      </c>
      <c r="AC40" s="81"/>
      <c r="AD40" s="26">
        <f t="shared" si="11"/>
        <v>1444000</v>
      </c>
      <c r="AE40"/>
      <c r="AF40" s="80">
        <f>J40/AH40*1000+AG20</f>
        <v>104.05296390492357</v>
      </c>
      <c r="AG40" s="81"/>
      <c r="AH40" s="26">
        <f t="shared" si="12"/>
        <v>1710000</v>
      </c>
      <c r="AI40"/>
      <c r="AJ40" s="80">
        <f>J40/AL40*1000+AK20</f>
        <v>99.629123699401291</v>
      </c>
      <c r="AK40" s="81"/>
      <c r="AL40" s="26">
        <f t="shared" si="13"/>
        <v>1805000</v>
      </c>
      <c r="AM40"/>
      <c r="AN40" s="80">
        <f>J40/AP40*1000+AO20</f>
        <v>83.6501456647228</v>
      </c>
      <c r="AO40" s="81"/>
      <c r="AP40" s="26">
        <f t="shared" si="14"/>
        <v>2185000</v>
      </c>
      <c r="AQ40"/>
      <c r="AR40" s="80">
        <f>J40/AT40*1000+AS20</f>
        <v>81.289722928692683</v>
      </c>
      <c r="AS40" s="81"/>
      <c r="AT40" s="26">
        <f t="shared" si="15"/>
        <v>2280000</v>
      </c>
      <c r="AU40"/>
      <c r="AV40" s="80">
        <f>J40/AX40*1000+AW20</f>
        <v>72.208454720602333</v>
      </c>
      <c r="AW40" s="81"/>
      <c r="AX40" s="26">
        <f t="shared" si="16"/>
        <v>2622000</v>
      </c>
      <c r="AY40"/>
      <c r="AZ40" s="80">
        <f>J40/BB40*1000+BA20</f>
        <v>70.858508751350499</v>
      </c>
      <c r="BA40" s="81"/>
      <c r="BB40" s="26">
        <f t="shared" si="17"/>
        <v>2717000</v>
      </c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</row>
    <row r="41" spans="1:76" s="9" customFormat="1" ht="30" customHeight="1" thickBot="1" x14ac:dyDescent="0.4">
      <c r="A41"/>
      <c r="B41" s="39">
        <v>20000</v>
      </c>
      <c r="C41" s="40">
        <f>B41*C20</f>
        <v>133600.91612903227</v>
      </c>
      <c r="D41" s="41">
        <f t="shared" si="19"/>
        <v>10650</v>
      </c>
      <c r="E41" s="41">
        <f>E40+225</f>
        <v>6500</v>
      </c>
      <c r="F41" s="42">
        <v>5000</v>
      </c>
      <c r="G41" s="42">
        <f>65*B41/1000*D20</f>
        <v>2600</v>
      </c>
      <c r="H41" s="42">
        <f t="shared" si="18"/>
        <v>158350.91612903227</v>
      </c>
      <c r="I41" s="43">
        <f t="shared" si="21"/>
        <v>0.15999999999999981</v>
      </c>
      <c r="J41" s="44">
        <f t="shared" si="6"/>
        <v>183687.06270967738</v>
      </c>
      <c r="K41"/>
      <c r="L41" s="98">
        <f t="shared" si="0"/>
        <v>183.68706270967738</v>
      </c>
      <c r="M41" s="99"/>
      <c r="N41" s="28">
        <f t="shared" si="7"/>
        <v>1000000</v>
      </c>
      <c r="O41"/>
      <c r="P41" s="98">
        <f t="shared" si="1"/>
        <v>173.28968180158245</v>
      </c>
      <c r="Q41" s="99"/>
      <c r="R41" s="28">
        <f t="shared" si="8"/>
        <v>1060000</v>
      </c>
      <c r="S41"/>
      <c r="T41" s="98">
        <f t="shared" si="2"/>
        <v>127.56046021505374</v>
      </c>
      <c r="U41" s="99"/>
      <c r="V41" s="28">
        <f t="shared" si="9"/>
        <v>1440000</v>
      </c>
      <c r="W41"/>
      <c r="X41" s="98">
        <f t="shared" si="3"/>
        <v>120.84675178268249</v>
      </c>
      <c r="Y41" s="99"/>
      <c r="Z41" s="28">
        <f t="shared" si="10"/>
        <v>1520000</v>
      </c>
      <c r="AA41"/>
      <c r="AB41" s="98">
        <f t="shared" si="4"/>
        <v>122.84675178268249</v>
      </c>
      <c r="AC41" s="99"/>
      <c r="AD41" s="28">
        <f t="shared" si="11"/>
        <v>1520000</v>
      </c>
      <c r="AE41"/>
      <c r="AF41" s="98">
        <f>J41/AH41*1000+AG20</f>
        <v>103.04836817204298</v>
      </c>
      <c r="AG41" s="99"/>
      <c r="AH41" s="28">
        <f t="shared" si="12"/>
        <v>1800000</v>
      </c>
      <c r="AI41"/>
      <c r="AJ41" s="98">
        <f>J41/AL41*1000+AK20</f>
        <v>98.677401426145991</v>
      </c>
      <c r="AK41" s="99"/>
      <c r="AL41" s="28">
        <f t="shared" si="13"/>
        <v>1900000</v>
      </c>
      <c r="AM41"/>
      <c r="AN41" s="98">
        <f>J41/AP41*1000+AO20</f>
        <v>82.863940308555385</v>
      </c>
      <c r="AO41" s="99"/>
      <c r="AP41" s="28">
        <f t="shared" si="14"/>
        <v>2300000</v>
      </c>
      <c r="AQ41"/>
      <c r="AR41" s="98">
        <f>J41/AT41*1000+AS20</f>
        <v>80.536276129032245</v>
      </c>
      <c r="AS41" s="99"/>
      <c r="AT41" s="28">
        <f t="shared" si="15"/>
        <v>2400000</v>
      </c>
      <c r="AU41"/>
      <c r="AV41" s="98">
        <f>J41/AX41*1000+AW20</f>
        <v>71.553283590462826</v>
      </c>
      <c r="AW41" s="99"/>
      <c r="AX41" s="28">
        <f t="shared" si="16"/>
        <v>2760000</v>
      </c>
      <c r="AY41"/>
      <c r="AZ41" s="98">
        <f>J41/BB41*1000+BA20</f>
        <v>70.226245702684395</v>
      </c>
      <c r="BA41" s="99"/>
      <c r="BB41" s="28">
        <f t="shared" si="17"/>
        <v>2860000</v>
      </c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</row>
    <row r="42" spans="1:76" ht="29.25" customHeight="1" x14ac:dyDescent="0.35">
      <c r="L42" s="110"/>
      <c r="M42" s="111"/>
      <c r="N42" s="111"/>
      <c r="O42"/>
      <c r="P42"/>
      <c r="Q42"/>
      <c r="R42"/>
      <c r="BB42" s="45"/>
    </row>
    <row r="43" spans="1:76" ht="30" customHeight="1" x14ac:dyDescent="0.35">
      <c r="I43" s="104" t="s">
        <v>31</v>
      </c>
      <c r="J43" s="105"/>
      <c r="L43" s="100">
        <f>60/25000*1000</f>
        <v>2.4</v>
      </c>
      <c r="M43" s="101"/>
      <c r="N43"/>
      <c r="O43" s="58"/>
      <c r="P43" s="108">
        <f>L43</f>
        <v>2.4</v>
      </c>
      <c r="Q43" s="101"/>
      <c r="R43" s="59"/>
      <c r="S43" s="58"/>
      <c r="T43" s="108">
        <f>60/27000*1000</f>
        <v>2.2222222222222223</v>
      </c>
      <c r="U43" s="101"/>
      <c r="V43" s="59"/>
      <c r="W43" s="59"/>
      <c r="X43" s="108">
        <f>60/30000*1000</f>
        <v>2</v>
      </c>
      <c r="Y43" s="101"/>
      <c r="Z43" s="59"/>
      <c r="AA43" s="59"/>
      <c r="AB43" s="108">
        <f>X43</f>
        <v>2</v>
      </c>
      <c r="AC43" s="101"/>
      <c r="AD43" s="59"/>
      <c r="AE43" s="59"/>
      <c r="AF43" s="108">
        <f>60/32000*1000</f>
        <v>1.875</v>
      </c>
      <c r="AG43" s="101"/>
      <c r="AH43" s="59"/>
      <c r="AI43" s="59"/>
      <c r="AJ43" s="108">
        <f>60/34000*1000</f>
        <v>1.7647058823529413</v>
      </c>
      <c r="AK43" s="101"/>
      <c r="AL43" s="59"/>
      <c r="AM43" s="59"/>
      <c r="AN43" s="108">
        <f>60/38000*1000</f>
        <v>1.5789473684210527</v>
      </c>
      <c r="AO43" s="101"/>
      <c r="AP43" s="59"/>
      <c r="AQ43" s="59"/>
      <c r="AR43" s="108">
        <f>60/40000*1000</f>
        <v>1.5</v>
      </c>
      <c r="AS43" s="101"/>
      <c r="AT43" s="59"/>
      <c r="AU43" s="59"/>
      <c r="AV43" s="108">
        <f>60/45000*1000</f>
        <v>1.3333333333333333</v>
      </c>
      <c r="AW43" s="101"/>
      <c r="AX43" s="59"/>
      <c r="AY43" s="59"/>
      <c r="AZ43" s="108">
        <f>60/50000*1000</f>
        <v>1.2</v>
      </c>
      <c r="BA43" s="101"/>
      <c r="BB43" s="45"/>
    </row>
    <row r="44" spans="1:76" ht="30" customHeight="1" thickBot="1" x14ac:dyDescent="0.4">
      <c r="I44" s="106"/>
      <c r="J44" s="107"/>
      <c r="L44" s="102"/>
      <c r="M44" s="103"/>
      <c r="N44" s="75"/>
      <c r="O44" s="60"/>
      <c r="P44" s="109"/>
      <c r="Q44" s="103"/>
      <c r="R44" s="48"/>
      <c r="S44" s="60"/>
      <c r="T44" s="109"/>
      <c r="U44" s="103"/>
      <c r="V44" s="48"/>
      <c r="W44" s="48"/>
      <c r="X44" s="109"/>
      <c r="Y44" s="103"/>
      <c r="Z44" s="48"/>
      <c r="AA44" s="48"/>
      <c r="AB44" s="109"/>
      <c r="AC44" s="103"/>
      <c r="AD44" s="48"/>
      <c r="AE44" s="48"/>
      <c r="AF44" s="109"/>
      <c r="AG44" s="103"/>
      <c r="AH44" s="48"/>
      <c r="AI44" s="48"/>
      <c r="AJ44" s="109"/>
      <c r="AK44" s="103"/>
      <c r="AL44" s="48"/>
      <c r="AM44" s="48"/>
      <c r="AN44" s="109"/>
      <c r="AO44" s="103"/>
      <c r="AP44" s="48"/>
      <c r="AQ44" s="48"/>
      <c r="AR44" s="109"/>
      <c r="AS44" s="103"/>
      <c r="AT44" s="48"/>
      <c r="AU44" s="48"/>
      <c r="AV44" s="109"/>
      <c r="AW44" s="103"/>
      <c r="AX44" s="48"/>
      <c r="AY44" s="48"/>
      <c r="AZ44" s="109"/>
      <c r="BA44" s="103"/>
      <c r="BB44" s="61"/>
    </row>
    <row r="45" spans="1:76" ht="30" customHeight="1" x14ac:dyDescent="0.35">
      <c r="J45" s="6"/>
    </row>
    <row r="46" spans="1:76" ht="30" customHeight="1" x14ac:dyDescent="0.35">
      <c r="J46" s="6"/>
    </row>
    <row r="47" spans="1:76" ht="30" customHeight="1" x14ac:dyDescent="0.35">
      <c r="J47" s="6"/>
    </row>
    <row r="48" spans="1:76" ht="30" customHeight="1" x14ac:dyDescent="0.35">
      <c r="J48" s="6"/>
    </row>
    <row r="49" spans="10:10" ht="30" customHeight="1" x14ac:dyDescent="0.35">
      <c r="J49" s="6"/>
    </row>
    <row r="50" spans="10:10" ht="30" customHeight="1" x14ac:dyDescent="0.35">
      <c r="J50" s="6"/>
    </row>
    <row r="51" spans="10:10" ht="30" customHeight="1" x14ac:dyDescent="0.35">
      <c r="J51" s="6"/>
    </row>
    <row r="52" spans="10:10" ht="30" customHeight="1" x14ac:dyDescent="0.35">
      <c r="J52" s="6"/>
    </row>
    <row r="53" spans="10:10" ht="30" customHeight="1" x14ac:dyDescent="0.35">
      <c r="J53" s="6"/>
    </row>
    <row r="54" spans="10:10" ht="30" customHeight="1" x14ac:dyDescent="0.35">
      <c r="J54" s="6"/>
    </row>
    <row r="55" spans="10:10" ht="30" customHeight="1" x14ac:dyDescent="0.35">
      <c r="J55" s="6"/>
    </row>
    <row r="56" spans="10:10" ht="30" customHeight="1" x14ac:dyDescent="0.35">
      <c r="J56" s="6"/>
    </row>
    <row r="57" spans="10:10" ht="30" customHeight="1" x14ac:dyDescent="0.35">
      <c r="J57" s="6"/>
    </row>
    <row r="58" spans="10:10" ht="30" customHeight="1" x14ac:dyDescent="0.35">
      <c r="J58" s="6"/>
    </row>
    <row r="59" spans="10:10" ht="30" customHeight="1" x14ac:dyDescent="0.35">
      <c r="J59" s="6"/>
    </row>
    <row r="60" spans="10:10" ht="30" customHeight="1" x14ac:dyDescent="0.35">
      <c r="J60" s="6"/>
    </row>
    <row r="61" spans="10:10" ht="30" customHeight="1" x14ac:dyDescent="0.35">
      <c r="J61" s="6"/>
    </row>
    <row r="62" spans="10:10" ht="30" customHeight="1" x14ac:dyDescent="0.35">
      <c r="J62" s="6"/>
    </row>
  </sheetData>
  <sheetProtection formatCells="0" formatColumns="0" formatRows="0" insertColumns="0" insertRows="0" insertHyperlinks="0" deleteColumns="0" deleteRows="0" sort="0" autoFilter="0" pivotTables="0"/>
  <mergeCells count="259">
    <mergeCell ref="L43:M44"/>
    <mergeCell ref="I43:J44"/>
    <mergeCell ref="AZ41:BA41"/>
    <mergeCell ref="P43:Q44"/>
    <mergeCell ref="T43:U44"/>
    <mergeCell ref="X43:Y44"/>
    <mergeCell ref="AB43:AC44"/>
    <mergeCell ref="AF43:AG44"/>
    <mergeCell ref="AJ43:AK44"/>
    <mergeCell ref="AN43:AO44"/>
    <mergeCell ref="AR43:AS44"/>
    <mergeCell ref="AV43:AW44"/>
    <mergeCell ref="AZ43:BA44"/>
    <mergeCell ref="AN41:AO41"/>
    <mergeCell ref="AF41:AG41"/>
    <mergeCell ref="AB41:AC41"/>
    <mergeCell ref="T41:U41"/>
    <mergeCell ref="L42:N42"/>
    <mergeCell ref="AR41:AS41"/>
    <mergeCell ref="AJ41:AK41"/>
    <mergeCell ref="P41:Q41"/>
    <mergeCell ref="X41:Y41"/>
    <mergeCell ref="AZ36:BA36"/>
    <mergeCell ref="AZ37:BA37"/>
    <mergeCell ref="AZ38:BA38"/>
    <mergeCell ref="AZ39:BA39"/>
    <mergeCell ref="AZ40:BA40"/>
    <mergeCell ref="AV41:AW41"/>
    <mergeCell ref="AZ21:BA21"/>
    <mergeCell ref="AZ22:BA22"/>
    <mergeCell ref="AZ23:BA23"/>
    <mergeCell ref="AZ24:BA24"/>
    <mergeCell ref="AZ25:BA25"/>
    <mergeCell ref="AZ26:BA26"/>
    <mergeCell ref="AZ27:BA27"/>
    <mergeCell ref="AZ28:BA28"/>
    <mergeCell ref="AZ29:BA29"/>
    <mergeCell ref="AZ30:BA30"/>
    <mergeCell ref="AZ31:BA31"/>
    <mergeCell ref="AZ32:BA32"/>
    <mergeCell ref="AZ33:BA33"/>
    <mergeCell ref="AZ34:BA34"/>
    <mergeCell ref="AZ35:BA35"/>
    <mergeCell ref="AV36:AW36"/>
    <mergeCell ref="AV37:AW37"/>
    <mergeCell ref="AV38:AW38"/>
    <mergeCell ref="AR21:AS21"/>
    <mergeCell ref="AR24:AS24"/>
    <mergeCell ref="AR25:AS25"/>
    <mergeCell ref="AR26:AS26"/>
    <mergeCell ref="AR27:AS27"/>
    <mergeCell ref="AR28:AS28"/>
    <mergeCell ref="AR29:AS29"/>
    <mergeCell ref="AR30:AS30"/>
    <mergeCell ref="AV30:AW30"/>
    <mergeCell ref="AV21:AW21"/>
    <mergeCell ref="AV22:AW22"/>
    <mergeCell ref="AV23:AW23"/>
    <mergeCell ref="AV24:AW24"/>
    <mergeCell ref="AV25:AW25"/>
    <mergeCell ref="AV26:AW26"/>
    <mergeCell ref="AV27:AW27"/>
    <mergeCell ref="AV28:AW28"/>
    <mergeCell ref="AV29:AW29"/>
    <mergeCell ref="AV39:AW39"/>
    <mergeCell ref="AV40:AW40"/>
    <mergeCell ref="AR31:AS31"/>
    <mergeCell ref="AR32:AS32"/>
    <mergeCell ref="AR33:AS33"/>
    <mergeCell ref="AR34:AS34"/>
    <mergeCell ref="AR35:AS35"/>
    <mergeCell ref="AN36:AO36"/>
    <mergeCell ref="AN37:AO37"/>
    <mergeCell ref="AN38:AO38"/>
    <mergeCell ref="AN39:AO39"/>
    <mergeCell ref="AN40:AO40"/>
    <mergeCell ref="AR39:AS39"/>
    <mergeCell ref="AR40:AS40"/>
    <mergeCell ref="AV31:AW31"/>
    <mergeCell ref="AV32:AW32"/>
    <mergeCell ref="AV33:AW33"/>
    <mergeCell ref="AV34:AW34"/>
    <mergeCell ref="AV35:AW35"/>
    <mergeCell ref="AR36:AS36"/>
    <mergeCell ref="AR37:AS37"/>
    <mergeCell ref="AR38:AS38"/>
    <mergeCell ref="AN21:AO21"/>
    <mergeCell ref="AN22:AO22"/>
    <mergeCell ref="AN23:AO23"/>
    <mergeCell ref="AN24:AO24"/>
    <mergeCell ref="AN25:AO25"/>
    <mergeCell ref="AN26:AO26"/>
    <mergeCell ref="AN27:AO27"/>
    <mergeCell ref="AN28:AO28"/>
    <mergeCell ref="AN29:AO29"/>
    <mergeCell ref="AJ39:AK39"/>
    <mergeCell ref="AN30:AO30"/>
    <mergeCell ref="AN31:AO31"/>
    <mergeCell ref="AN32:AO32"/>
    <mergeCell ref="AN33:AO33"/>
    <mergeCell ref="AN34:AO34"/>
    <mergeCell ref="AN35:AO35"/>
    <mergeCell ref="AJ36:AK36"/>
    <mergeCell ref="AJ37:AK37"/>
    <mergeCell ref="AJ38:AK38"/>
    <mergeCell ref="AJ33:AK33"/>
    <mergeCell ref="AJ34:AK34"/>
    <mergeCell ref="X37:Y37"/>
    <mergeCell ref="AJ40:AK40"/>
    <mergeCell ref="AB21:AC21"/>
    <mergeCell ref="AB22:AC22"/>
    <mergeCell ref="AB23:AC23"/>
    <mergeCell ref="AB24:AC24"/>
    <mergeCell ref="AB25:AC25"/>
    <mergeCell ref="AB26:AC26"/>
    <mergeCell ref="AB27:AC27"/>
    <mergeCell ref="AB28:AC28"/>
    <mergeCell ref="AB29:AC29"/>
    <mergeCell ref="AF40:AG40"/>
    <mergeCell ref="AJ23:AK23"/>
    <mergeCell ref="AJ24:AK24"/>
    <mergeCell ref="AJ25:AK25"/>
    <mergeCell ref="AJ26:AK26"/>
    <mergeCell ref="AJ27:AK27"/>
    <mergeCell ref="AJ28:AK28"/>
    <mergeCell ref="AJ29:AK29"/>
    <mergeCell ref="AJ30:AK30"/>
    <mergeCell ref="AJ31:AK31"/>
    <mergeCell ref="AF24:AG24"/>
    <mergeCell ref="AF25:AG25"/>
    <mergeCell ref="AF26:AG26"/>
    <mergeCell ref="AJ21:AK21"/>
    <mergeCell ref="AJ22:AK22"/>
    <mergeCell ref="AJ35:AK35"/>
    <mergeCell ref="AF36:AG36"/>
    <mergeCell ref="X21:Y21"/>
    <mergeCell ref="X24:Y24"/>
    <mergeCell ref="X25:Y25"/>
    <mergeCell ref="X26:Y26"/>
    <mergeCell ref="X27:Y27"/>
    <mergeCell ref="X28:Y28"/>
    <mergeCell ref="X29:Y29"/>
    <mergeCell ref="X30:Y30"/>
    <mergeCell ref="AF30:AG30"/>
    <mergeCell ref="AB30:AC30"/>
    <mergeCell ref="AB31:AC31"/>
    <mergeCell ref="AB32:AC32"/>
    <mergeCell ref="AB33:AC33"/>
    <mergeCell ref="AB34:AC34"/>
    <mergeCell ref="AB35:AC35"/>
    <mergeCell ref="X36:Y36"/>
    <mergeCell ref="AF27:AG27"/>
    <mergeCell ref="AF28:AG28"/>
    <mergeCell ref="AJ32:AK32"/>
    <mergeCell ref="T39:U39"/>
    <mergeCell ref="T40:U40"/>
    <mergeCell ref="X40:Y40"/>
    <mergeCell ref="AB36:AC36"/>
    <mergeCell ref="AB37:AC37"/>
    <mergeCell ref="AB38:AC38"/>
    <mergeCell ref="AF35:AG35"/>
    <mergeCell ref="AF29:AG29"/>
    <mergeCell ref="AB39:AC39"/>
    <mergeCell ref="AB40:AC40"/>
    <mergeCell ref="X31:Y31"/>
    <mergeCell ref="X32:Y32"/>
    <mergeCell ref="X33:Y33"/>
    <mergeCell ref="X34:Y34"/>
    <mergeCell ref="X35:Y35"/>
    <mergeCell ref="X38:Y38"/>
    <mergeCell ref="X39:Y39"/>
    <mergeCell ref="AF31:AG31"/>
    <mergeCell ref="AF32:AG32"/>
    <mergeCell ref="AF33:AG33"/>
    <mergeCell ref="AF34:AG34"/>
    <mergeCell ref="AF37:AG37"/>
    <mergeCell ref="AF38:AG38"/>
    <mergeCell ref="AF39:AG39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P36:Q36"/>
    <mergeCell ref="P37:Q37"/>
    <mergeCell ref="P38:Q38"/>
    <mergeCell ref="T36:U36"/>
    <mergeCell ref="T37:U37"/>
    <mergeCell ref="T38:U38"/>
    <mergeCell ref="P39:Q39"/>
    <mergeCell ref="P40:Q40"/>
    <mergeCell ref="P31:Q31"/>
    <mergeCell ref="P32:Q32"/>
    <mergeCell ref="P33:Q33"/>
    <mergeCell ref="P34:Q34"/>
    <mergeCell ref="P35:Q35"/>
    <mergeCell ref="P26:Q26"/>
    <mergeCell ref="P27:Q27"/>
    <mergeCell ref="P28:Q28"/>
    <mergeCell ref="P29:Q29"/>
    <mergeCell ref="P30:Q30"/>
    <mergeCell ref="P21:Q21"/>
    <mergeCell ref="P22:Q22"/>
    <mergeCell ref="P23:Q23"/>
    <mergeCell ref="P24:Q24"/>
    <mergeCell ref="P25:Q25"/>
    <mergeCell ref="L39:M39"/>
    <mergeCell ref="L40:M40"/>
    <mergeCell ref="L41:M41"/>
    <mergeCell ref="L21:M21"/>
    <mergeCell ref="L34:M34"/>
    <mergeCell ref="L35:M35"/>
    <mergeCell ref="L36:M36"/>
    <mergeCell ref="L37:M37"/>
    <mergeCell ref="L38:M38"/>
    <mergeCell ref="L29:M29"/>
    <mergeCell ref="L30:M30"/>
    <mergeCell ref="L31:M31"/>
    <mergeCell ref="L32:M32"/>
    <mergeCell ref="L33:M33"/>
    <mergeCell ref="L24:M24"/>
    <mergeCell ref="L25:M25"/>
    <mergeCell ref="L26:M26"/>
    <mergeCell ref="L27:M27"/>
    <mergeCell ref="L28:M28"/>
    <mergeCell ref="C13:D13"/>
    <mergeCell ref="B17:B18"/>
    <mergeCell ref="C17:C18"/>
    <mergeCell ref="L22:M22"/>
    <mergeCell ref="L23:M23"/>
    <mergeCell ref="L15:BB16"/>
    <mergeCell ref="AZ18:BB19"/>
    <mergeCell ref="AV18:AX19"/>
    <mergeCell ref="X18:Z19"/>
    <mergeCell ref="L18:N19"/>
    <mergeCell ref="T18:V19"/>
    <mergeCell ref="P18:R19"/>
    <mergeCell ref="AB18:AD19"/>
    <mergeCell ref="AF18:AH19"/>
    <mergeCell ref="AJ18:AL19"/>
    <mergeCell ref="AN18:AP19"/>
    <mergeCell ref="AR18:AT19"/>
    <mergeCell ref="X22:Y22"/>
    <mergeCell ref="X23:Y23"/>
    <mergeCell ref="AF21:AG21"/>
    <mergeCell ref="AF22:AG22"/>
    <mergeCell ref="AF23:AG23"/>
    <mergeCell ref="AR22:AS22"/>
    <mergeCell ref="AR23:AS23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LID RATE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SERVER</cp:lastModifiedBy>
  <cp:lastPrinted>2021-06-12T12:41:44Z</cp:lastPrinted>
  <dcterms:created xsi:type="dcterms:W3CDTF">2021-06-11T13:35:02Z</dcterms:created>
  <dcterms:modified xsi:type="dcterms:W3CDTF">2026-09-16T10:37:52Z</dcterms:modified>
</cp:coreProperties>
</file>