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VER\Desktop\"/>
    </mc:Choice>
  </mc:AlternateContent>
  <xr:revisionPtr revIDLastSave="0" documentId="13_ncr:1_{5661BCA6-824C-42D1-930A-68830C1676A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4" i="3" l="1"/>
  <c r="E24" i="3"/>
  <c r="D9" i="3"/>
  <c r="D16" i="3"/>
  <c r="E16" i="3" s="1"/>
  <c r="G16" i="3" s="1"/>
  <c r="E28" i="3"/>
  <c r="G28" i="3" s="1"/>
  <c r="G5" i="3"/>
  <c r="D22" i="3" s="1"/>
  <c r="G22" i="3" s="1"/>
  <c r="D18" i="3"/>
  <c r="G18" i="3" s="1"/>
  <c r="D11" i="3"/>
  <c r="D12" i="3" s="1"/>
  <c r="G11" i="3" s="1"/>
  <c r="E14" i="3"/>
  <c r="D14" i="3"/>
  <c r="D20" i="3" l="1"/>
  <c r="G20" i="3" s="1"/>
  <c r="G8" i="3"/>
  <c r="G14" i="3"/>
  <c r="F30" i="3" l="1"/>
  <c r="C33" i="3" s="1"/>
  <c r="D33" i="3" l="1"/>
  <c r="F33" i="3" s="1"/>
</calcChain>
</file>

<file path=xl/sharedStrings.xml><?xml version="1.0" encoding="utf-8"?>
<sst xmlns="http://schemas.openxmlformats.org/spreadsheetml/2006/main" count="27" uniqueCount="25">
  <si>
    <t xml:space="preserve">TOTAL </t>
  </si>
  <si>
    <t xml:space="preserve">GMS </t>
  </si>
  <si>
    <t xml:space="preserve">PANCHING </t>
  </si>
  <si>
    <t>QTY.</t>
  </si>
  <si>
    <t xml:space="preserve">JOB SIZE </t>
  </si>
  <si>
    <t xml:space="preserve"> </t>
  </si>
  <si>
    <t xml:space="preserve">PAPER </t>
  </si>
  <si>
    <t xml:space="preserve">PAPER Wt. </t>
  </si>
  <si>
    <t xml:space="preserve">FRIGHT </t>
  </si>
  <si>
    <t>PRINTING COPY</t>
  </si>
  <si>
    <t xml:space="preserve">PESTING BOX </t>
  </si>
  <si>
    <t xml:space="preserve">NORMAL BOX RATE </t>
  </si>
  <si>
    <t>BOX QTY.</t>
  </si>
  <si>
    <t xml:space="preserve">PER BOX </t>
  </si>
  <si>
    <t xml:space="preserve">EXTRA </t>
  </si>
  <si>
    <t>PR</t>
  </si>
  <si>
    <t>PESTING + PAKING : 100+20</t>
  </si>
  <si>
    <t xml:space="preserve">LAMINATION </t>
  </si>
  <si>
    <t xml:space="preserve">DIE CHARGE </t>
  </si>
  <si>
    <t>UPS</t>
  </si>
  <si>
    <t xml:space="preserve">FOILS </t>
  </si>
  <si>
    <t>FBB</t>
  </si>
  <si>
    <t>DRIPOFF</t>
  </si>
  <si>
    <t>TRANSPORT</t>
  </si>
  <si>
    <t xml:space="preserve">PAKING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</si>
</sst>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0.0"/>
    <numFmt numFmtId="165" formatCode="_ * #,##0_ ;_ * \-#,##0_ ;_ * &quot;-&quot;??_ ;_ @_ "/>
    <numFmt numFmtId="166" formatCode="0.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2" borderId="0" applyNumberFormat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0" fillId="0" borderId="0" xfId="0" applyAlignment="1">
      <alignment horizontal="center"/>
    </xf>
    <xf numFmtId="43" fontId="0" fillId="0" borderId="0" xfId="1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2" fillId="4" borderId="0" xfId="2" applyFill="1" applyAlignmen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3" fillId="5" borderId="1" xfId="0" applyFont="1" applyFill="1" applyBorder="1"/>
    <xf numFmtId="0" fontId="3" fillId="5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 vertical="center"/>
    </xf>
    <xf numFmtId="0" fontId="0" fillId="0" borderId="1" xfId="0" applyBorder="1"/>
    <xf numFmtId="1" fontId="4" fillId="7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" fillId="5" borderId="1" xfId="3" applyNumberFormat="1" applyFont="1" applyFill="1" applyBorder="1" applyAlignment="1"/>
    <xf numFmtId="0" fontId="3" fillId="5" borderId="1" xfId="0" applyFont="1" applyFill="1" applyBorder="1" applyAlignment="1">
      <alignment horizontal="center" vertical="center"/>
    </xf>
    <xf numFmtId="1" fontId="3" fillId="5" borderId="1" xfId="3" applyNumberFormat="1" applyFont="1" applyFill="1" applyBorder="1" applyAlignment="1"/>
    <xf numFmtId="0" fontId="3" fillId="3" borderId="1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165" fontId="3" fillId="9" borderId="1" xfId="1" applyNumberFormat="1" applyFont="1" applyFill="1" applyBorder="1" applyAlignment="1">
      <alignment vertical="center"/>
    </xf>
    <xf numFmtId="165" fontId="3" fillId="5" borderId="2" xfId="1" applyNumberFormat="1" applyFont="1" applyFill="1" applyBorder="1" applyAlignment="1"/>
    <xf numFmtId="165" fontId="3" fillId="5" borderId="2" xfId="1" applyNumberFormat="1" applyFont="1" applyFill="1" applyBorder="1" applyAlignment="1">
      <alignment horizontal="center" vertical="center"/>
    </xf>
    <xf numFmtId="1" fontId="6" fillId="5" borderId="1" xfId="3" applyNumberFormat="1" applyFont="1" applyFill="1" applyBorder="1" applyAlignment="1">
      <alignment horizontal="center"/>
    </xf>
    <xf numFmtId="166" fontId="6" fillId="5" borderId="1" xfId="0" applyNumberFormat="1" applyFont="1" applyFill="1" applyBorder="1" applyAlignment="1">
      <alignment horizontal="center"/>
    </xf>
    <xf numFmtId="165" fontId="3" fillId="5" borderId="1" xfId="1" applyNumberFormat="1" applyFont="1" applyFill="1" applyBorder="1" applyAlignment="1">
      <alignment horizontal="center"/>
    </xf>
    <xf numFmtId="0" fontId="3" fillId="5" borderId="1" xfId="1" applyNumberFormat="1" applyFont="1" applyFill="1" applyBorder="1" applyAlignment="1">
      <alignment horizontal="center" vertical="center"/>
    </xf>
    <xf numFmtId="1" fontId="3" fillId="5" borderId="1" xfId="0" applyNumberFormat="1" applyFont="1" applyFill="1" applyBorder="1" applyAlignment="1">
      <alignment horizontal="center"/>
    </xf>
    <xf numFmtId="164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165" fontId="4" fillId="7" borderId="1" xfId="1" applyNumberFormat="1" applyFont="1" applyFill="1" applyBorder="1" applyAlignment="1">
      <alignment horizontal="center" vertical="center"/>
    </xf>
    <xf numFmtId="165" fontId="3" fillId="5" borderId="1" xfId="1" applyNumberFormat="1" applyFont="1" applyFill="1" applyBorder="1" applyAlignment="1">
      <alignment horizontal="center"/>
    </xf>
    <xf numFmtId="0" fontId="0" fillId="0" borderId="0" xfId="0"/>
    <xf numFmtId="1" fontId="6" fillId="5" borderId="2" xfId="0" applyNumberFormat="1" applyFont="1" applyFill="1" applyBorder="1" applyAlignment="1">
      <alignment horizontal="center"/>
    </xf>
    <xf numFmtId="1" fontId="6" fillId="5" borderId="3" xfId="0" applyNumberFormat="1" applyFont="1" applyFill="1" applyBorder="1" applyAlignment="1">
      <alignment horizontal="center"/>
    </xf>
    <xf numFmtId="1" fontId="4" fillId="7" borderId="5" xfId="0" applyNumberFormat="1" applyFont="1" applyFill="1" applyBorder="1" applyAlignment="1">
      <alignment horizontal="center" vertical="center"/>
    </xf>
    <xf numFmtId="1" fontId="4" fillId="7" borderId="6" xfId="0" applyNumberFormat="1" applyFont="1" applyFill="1" applyBorder="1" applyAlignment="1">
      <alignment horizontal="center" vertical="center"/>
    </xf>
    <xf numFmtId="1" fontId="4" fillId="7" borderId="4" xfId="0" applyNumberFormat="1" applyFont="1" applyFill="1" applyBorder="1" applyAlignment="1">
      <alignment horizontal="center" vertical="center"/>
    </xf>
    <xf numFmtId="1" fontId="4" fillId="7" borderId="3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7" xfId="0" applyFont="1" applyBorder="1" applyAlignment="1">
      <alignment horizontal="center"/>
    </xf>
    <xf numFmtId="0" fontId="3" fillId="3" borderId="0" xfId="0" applyFont="1" applyFill="1" applyAlignment="1">
      <alignment horizontal="center" vertical="center"/>
    </xf>
    <xf numFmtId="165" fontId="3" fillId="5" borderId="2" xfId="1" applyNumberFormat="1" applyFont="1" applyFill="1" applyBorder="1" applyAlignment="1">
      <alignment horizontal="center"/>
    </xf>
    <xf numFmtId="165" fontId="3" fillId="5" borderId="3" xfId="1" applyNumberFormat="1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6" fillId="6" borderId="8" xfId="0" applyFont="1" applyFill="1" applyBorder="1" applyAlignment="1">
      <alignment horizontal="center" vertical="center"/>
    </xf>
    <xf numFmtId="0" fontId="6" fillId="6" borderId="9" xfId="0" applyFont="1" applyFill="1" applyBorder="1" applyAlignment="1">
      <alignment horizontal="center" vertical="center"/>
    </xf>
    <xf numFmtId="0" fontId="6" fillId="6" borderId="10" xfId="0" applyFont="1" applyFill="1" applyBorder="1" applyAlignment="1">
      <alignment horizontal="center" vertical="center"/>
    </xf>
  </cellXfs>
  <cellStyles count="4">
    <cellStyle name="Comma" xfId="1" builtinId="3"/>
    <cellStyle name="Good" xfId="2" builtinId="26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89"/>
  <sheetViews>
    <sheetView tabSelected="1" topLeftCell="A11" zoomScale="130" zoomScaleNormal="130" workbookViewId="0">
      <selection activeCell="G25" sqref="G25"/>
    </sheetView>
  </sheetViews>
  <sheetFormatPr defaultColWidth="12.140625" defaultRowHeight="20.25" customHeight="1" x14ac:dyDescent="0.25"/>
  <cols>
    <col min="1" max="1" width="18.7109375" customWidth="1"/>
    <col min="2" max="2" width="6.85546875" customWidth="1"/>
    <col min="3" max="3" width="8.85546875" customWidth="1"/>
    <col min="4" max="4" width="10.7109375" customWidth="1"/>
    <col min="5" max="5" width="10.28515625" customWidth="1"/>
    <col min="7" max="7" width="14" customWidth="1"/>
    <col min="8" max="8" width="9" customWidth="1"/>
    <col min="9" max="9" width="9.85546875" bestFit="1" customWidth="1"/>
    <col min="13" max="13" width="15.42578125" style="2" customWidth="1"/>
    <col min="15" max="15" width="12.140625" style="5"/>
    <col min="18" max="18" width="12.140625" style="7"/>
    <col min="19" max="20" width="12.140625" style="1"/>
  </cols>
  <sheetData>
    <row r="1" spans="2:32" ht="20.25" customHeight="1" x14ac:dyDescent="0.25">
      <c r="O1"/>
    </row>
    <row r="2" spans="2:32" ht="20.25" customHeight="1" x14ac:dyDescent="0.25">
      <c r="B2" s="52" t="s">
        <v>11</v>
      </c>
      <c r="C2" s="52"/>
      <c r="D2" s="52"/>
      <c r="E2" s="52"/>
      <c r="F2" s="52"/>
      <c r="G2" s="52"/>
      <c r="L2" s="37"/>
      <c r="M2" s="37"/>
      <c r="N2" s="37"/>
      <c r="O2" s="37"/>
      <c r="P2" s="37"/>
      <c r="Q2" s="37"/>
      <c r="R2" s="37"/>
      <c r="S2" s="37"/>
      <c r="T2"/>
    </row>
    <row r="3" spans="2:32" ht="20.25" customHeight="1" x14ac:dyDescent="0.25">
      <c r="B3" s="52"/>
      <c r="C3" s="52"/>
      <c r="D3" s="52"/>
      <c r="E3" s="52"/>
      <c r="F3" s="52"/>
      <c r="G3" s="52"/>
      <c r="M3" s="37"/>
      <c r="N3" s="37"/>
      <c r="O3" s="37"/>
      <c r="P3" s="37"/>
      <c r="R3" s="37"/>
      <c r="S3" s="37"/>
      <c r="T3"/>
    </row>
    <row r="4" spans="2:32" ht="20.25" customHeight="1" x14ac:dyDescent="0.25">
      <c r="B4" s="34" t="s">
        <v>6</v>
      </c>
      <c r="C4" s="34"/>
      <c r="D4" s="30" t="s">
        <v>21</v>
      </c>
      <c r="E4" s="30"/>
      <c r="F4" s="14" t="s">
        <v>19</v>
      </c>
      <c r="G4" s="14" t="s">
        <v>12</v>
      </c>
      <c r="M4" s="37"/>
      <c r="N4" s="37"/>
      <c r="O4"/>
      <c r="R4" s="37"/>
      <c r="S4" s="37"/>
      <c r="T4"/>
    </row>
    <row r="5" spans="2:32" ht="20.25" customHeight="1" x14ac:dyDescent="0.25">
      <c r="B5" s="34" t="s">
        <v>4</v>
      </c>
      <c r="C5" s="34"/>
      <c r="D5" s="9">
        <v>18</v>
      </c>
      <c r="E5" s="8">
        <v>23</v>
      </c>
      <c r="F5" s="20">
        <v>9</v>
      </c>
      <c r="G5" s="21">
        <f>D7*F5</f>
        <v>45000</v>
      </c>
      <c r="M5"/>
      <c r="O5"/>
      <c r="R5"/>
      <c r="S5"/>
      <c r="T5"/>
    </row>
    <row r="6" spans="2:32" ht="20.25" customHeight="1" x14ac:dyDescent="0.25">
      <c r="B6" s="34" t="s">
        <v>1</v>
      </c>
      <c r="C6" s="34"/>
      <c r="D6" s="30">
        <v>300</v>
      </c>
      <c r="E6" s="30"/>
      <c r="F6" s="53">
        <v>85</v>
      </c>
      <c r="G6" s="11"/>
      <c r="M6"/>
      <c r="O6"/>
      <c r="R6"/>
      <c r="S6"/>
      <c r="T6"/>
    </row>
    <row r="7" spans="2:32" ht="20.25" customHeight="1" x14ac:dyDescent="0.25">
      <c r="B7" s="34" t="s">
        <v>3</v>
      </c>
      <c r="C7" s="34"/>
      <c r="D7" s="27">
        <v>5000</v>
      </c>
      <c r="E7" s="27"/>
      <c r="F7" s="54"/>
      <c r="G7" s="11"/>
      <c r="M7"/>
      <c r="O7"/>
      <c r="R7"/>
      <c r="S7"/>
      <c r="T7"/>
    </row>
    <row r="8" spans="2:32" ht="20.25" customHeight="1" x14ac:dyDescent="0.25">
      <c r="B8" s="34" t="s">
        <v>8</v>
      </c>
      <c r="C8" s="34"/>
      <c r="D8" s="28">
        <v>600</v>
      </c>
      <c r="E8" s="28"/>
      <c r="F8" s="54"/>
      <c r="G8" s="35">
        <f>D9*F6+D8</f>
        <v>34654.838709677417</v>
      </c>
      <c r="M8"/>
      <c r="O8"/>
      <c r="R8"/>
      <c r="S8"/>
      <c r="T8"/>
    </row>
    <row r="9" spans="2:32" ht="20.25" customHeight="1" x14ac:dyDescent="0.25">
      <c r="B9" s="34" t="s">
        <v>7</v>
      </c>
      <c r="C9" s="34"/>
      <c r="D9" s="29">
        <f>D5*E5*D6*D7/1550000</f>
        <v>400.64516129032256</v>
      </c>
      <c r="E9" s="29"/>
      <c r="F9" s="55"/>
      <c r="G9" s="35"/>
      <c r="M9"/>
      <c r="O9"/>
      <c r="R9"/>
      <c r="S9"/>
      <c r="T9"/>
    </row>
    <row r="10" spans="2:32" ht="20.25" customHeight="1" x14ac:dyDescent="0.25">
      <c r="B10" s="44"/>
      <c r="C10" s="44"/>
      <c r="D10" s="44"/>
      <c r="E10" s="44"/>
      <c r="F10" s="44"/>
      <c r="G10" s="45"/>
      <c r="M10"/>
      <c r="O10"/>
      <c r="R10"/>
      <c r="S10"/>
      <c r="T10"/>
      <c r="U10" s="3"/>
      <c r="V10" s="3"/>
      <c r="W10" s="3"/>
      <c r="X10" s="3"/>
      <c r="Y10" s="3"/>
    </row>
    <row r="11" spans="2:32" ht="20.25" customHeight="1" x14ac:dyDescent="0.25">
      <c r="B11" s="34" t="s">
        <v>9</v>
      </c>
      <c r="C11" s="34"/>
      <c r="D11" s="30">
        <f>D7</f>
        <v>5000</v>
      </c>
      <c r="E11" s="30"/>
      <c r="F11" s="19">
        <v>3500</v>
      </c>
      <c r="G11" s="40">
        <f>D12*F12/1000+F11</f>
        <v>4500</v>
      </c>
      <c r="M11"/>
      <c r="O11"/>
      <c r="R11"/>
      <c r="S11"/>
      <c r="T11"/>
      <c r="AF11" t="s">
        <v>5</v>
      </c>
    </row>
    <row r="12" spans="2:32" ht="20.25" customHeight="1" x14ac:dyDescent="0.25">
      <c r="B12" s="34" t="s">
        <v>14</v>
      </c>
      <c r="C12" s="34"/>
      <c r="D12" s="30">
        <f>D11-3000</f>
        <v>2000</v>
      </c>
      <c r="E12" s="30"/>
      <c r="F12" s="13">
        <v>500</v>
      </c>
      <c r="G12" s="41"/>
      <c r="M12"/>
      <c r="O12"/>
      <c r="R12"/>
      <c r="S12"/>
      <c r="T12"/>
    </row>
    <row r="13" spans="2:32" ht="20.25" customHeight="1" x14ac:dyDescent="0.25">
      <c r="B13" s="44"/>
      <c r="C13" s="44"/>
      <c r="D13" s="44"/>
      <c r="E13" s="44"/>
      <c r="F13" s="44"/>
      <c r="G13" s="45"/>
      <c r="M13"/>
      <c r="O13"/>
      <c r="R13"/>
      <c r="S13"/>
      <c r="T13"/>
    </row>
    <row r="14" spans="2:32" ht="20.25" customHeight="1" x14ac:dyDescent="0.25">
      <c r="B14" s="34" t="s">
        <v>17</v>
      </c>
      <c r="C14" s="34"/>
      <c r="D14" s="17">
        <f>D5</f>
        <v>18</v>
      </c>
      <c r="E14" s="17">
        <f>E5</f>
        <v>23</v>
      </c>
      <c r="F14" s="10">
        <v>0.4</v>
      </c>
      <c r="G14" s="12">
        <f>D14*E14*D7*F14/100</f>
        <v>8280</v>
      </c>
      <c r="H14" s="3"/>
      <c r="M14"/>
      <c r="O14"/>
      <c r="R14"/>
      <c r="S14"/>
      <c r="T14"/>
    </row>
    <row r="15" spans="2:32" ht="20.25" customHeight="1" x14ac:dyDescent="0.25">
      <c r="M15"/>
      <c r="O15"/>
      <c r="R15"/>
      <c r="S15"/>
      <c r="T15"/>
    </row>
    <row r="16" spans="2:32" ht="20.25" customHeight="1" x14ac:dyDescent="0.25">
      <c r="B16" s="34" t="s">
        <v>22</v>
      </c>
      <c r="C16" s="34"/>
      <c r="D16" s="17">
        <f>D5*E5</f>
        <v>414</v>
      </c>
      <c r="E16" s="17">
        <f>D16*D7/100</f>
        <v>20700</v>
      </c>
      <c r="F16" s="10">
        <v>0</v>
      </c>
      <c r="G16" s="12">
        <f>E16*F16</f>
        <v>0</v>
      </c>
      <c r="H16" s="3"/>
      <c r="M16"/>
      <c r="O16"/>
      <c r="R16"/>
      <c r="S16"/>
      <c r="T16"/>
    </row>
    <row r="17" spans="2:30" ht="20.25" customHeight="1" x14ac:dyDescent="0.25">
      <c r="B17" s="44"/>
      <c r="C17" s="44"/>
      <c r="D17" s="44"/>
      <c r="E17" s="44"/>
      <c r="F17" s="44"/>
      <c r="G17" s="45"/>
      <c r="M17"/>
      <c r="O17"/>
      <c r="R17"/>
      <c r="S17"/>
      <c r="T17"/>
    </row>
    <row r="18" spans="2:30" ht="20.25" customHeight="1" x14ac:dyDescent="0.25">
      <c r="B18" s="34" t="s">
        <v>2</v>
      </c>
      <c r="C18" s="34"/>
      <c r="D18" s="36">
        <f>D7</f>
        <v>5000</v>
      </c>
      <c r="E18" s="36"/>
      <c r="F18" s="13">
        <v>600</v>
      </c>
      <c r="G18" s="12">
        <f>D18*F18/1000</f>
        <v>3000</v>
      </c>
      <c r="M18"/>
      <c r="O18"/>
      <c r="R18"/>
      <c r="S18"/>
      <c r="T18"/>
    </row>
    <row r="19" spans="2:30" ht="20.25" customHeight="1" x14ac:dyDescent="0.25">
      <c r="M19"/>
      <c r="O19"/>
      <c r="R19"/>
      <c r="S19"/>
      <c r="T19"/>
    </row>
    <row r="20" spans="2:30" ht="20.25" customHeight="1" x14ac:dyDescent="0.25">
      <c r="B20" s="34" t="s">
        <v>20</v>
      </c>
      <c r="C20" s="34"/>
      <c r="D20" s="36">
        <f>G5</f>
        <v>45000</v>
      </c>
      <c r="E20" s="36"/>
      <c r="F20" s="13">
        <v>0</v>
      </c>
      <c r="G20" s="12">
        <f>D20*F20/1000</f>
        <v>0</v>
      </c>
      <c r="M20"/>
      <c r="O20"/>
      <c r="R20"/>
      <c r="S20"/>
      <c r="T20"/>
    </row>
    <row r="21" spans="2:30" ht="20.25" customHeight="1" x14ac:dyDescent="0.25">
      <c r="B21" s="44"/>
      <c r="C21" s="44"/>
      <c r="D21" s="44"/>
      <c r="E21" s="44"/>
      <c r="F21" s="44"/>
      <c r="G21" s="45"/>
      <c r="M21"/>
      <c r="O21"/>
      <c r="R21"/>
      <c r="S21"/>
      <c r="T21"/>
    </row>
    <row r="22" spans="2:30" ht="20.25" customHeight="1" x14ac:dyDescent="0.25">
      <c r="B22" s="34" t="s">
        <v>10</v>
      </c>
      <c r="C22" s="34"/>
      <c r="D22" s="49">
        <f>G5</f>
        <v>45000</v>
      </c>
      <c r="E22" s="50"/>
      <c r="F22" s="13">
        <v>150</v>
      </c>
      <c r="G22" s="12">
        <f>D22*F22/1000</f>
        <v>6750</v>
      </c>
      <c r="J22" s="4"/>
      <c r="M22"/>
      <c r="O22"/>
      <c r="R22"/>
      <c r="S22"/>
      <c r="T22"/>
    </row>
    <row r="23" spans="2:30" ht="20.25" customHeight="1" x14ac:dyDescent="0.25">
      <c r="M23"/>
      <c r="O23"/>
      <c r="R23"/>
      <c r="S23"/>
      <c r="T23"/>
    </row>
    <row r="24" spans="2:30" ht="20.25" customHeight="1" x14ac:dyDescent="0.25">
      <c r="B24" s="31" t="s">
        <v>24</v>
      </c>
      <c r="C24" s="32"/>
      <c r="D24" s="26">
        <v>2500</v>
      </c>
      <c r="E24" s="26">
        <f>D22/D24</f>
        <v>18</v>
      </c>
      <c r="F24" s="13">
        <v>60</v>
      </c>
      <c r="G24" s="12">
        <f>F24*E24</f>
        <v>1080</v>
      </c>
      <c r="J24" s="4"/>
      <c r="M24"/>
      <c r="O24"/>
      <c r="R24"/>
      <c r="S24"/>
      <c r="T24"/>
    </row>
    <row r="25" spans="2:30" ht="20.25" customHeight="1" x14ac:dyDescent="0.25">
      <c r="M25"/>
      <c r="O25"/>
      <c r="R25"/>
      <c r="S25"/>
      <c r="T25"/>
    </row>
    <row r="26" spans="2:30" ht="20.25" customHeight="1" x14ac:dyDescent="0.25">
      <c r="B26" s="31" t="s">
        <v>23</v>
      </c>
      <c r="C26" s="32"/>
      <c r="D26" s="26"/>
      <c r="E26" s="26"/>
      <c r="F26" s="13"/>
      <c r="G26" s="12"/>
      <c r="J26" s="4"/>
      <c r="M26"/>
      <c r="O26"/>
      <c r="R26"/>
      <c r="S26"/>
      <c r="T26"/>
    </row>
    <row r="27" spans="2:30" s="3" customFormat="1" ht="20.25" customHeight="1" x14ac:dyDescent="0.25">
      <c r="B27" s="33"/>
      <c r="C27" s="33"/>
      <c r="D27" s="33"/>
      <c r="E27" s="33"/>
      <c r="F27" s="33"/>
      <c r="G27" s="33"/>
      <c r="H27"/>
      <c r="I27"/>
      <c r="J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</row>
    <row r="28" spans="2:30" ht="20.25" customHeight="1" x14ac:dyDescent="0.25">
      <c r="B28" s="34" t="s">
        <v>18</v>
      </c>
      <c r="C28" s="34"/>
      <c r="D28" s="23" t="s">
        <v>19</v>
      </c>
      <c r="E28" s="22">
        <f>F5</f>
        <v>9</v>
      </c>
      <c r="F28" s="13">
        <v>500</v>
      </c>
      <c r="G28" s="12">
        <f>E28*F28</f>
        <v>4500</v>
      </c>
      <c r="M28"/>
      <c r="O28"/>
      <c r="R28"/>
      <c r="S28"/>
      <c r="T28"/>
    </row>
    <row r="29" spans="2:30" ht="20.25" customHeight="1" x14ac:dyDescent="0.25">
      <c r="B29" s="44" t="s">
        <v>16</v>
      </c>
      <c r="C29" s="44"/>
      <c r="D29" s="44"/>
      <c r="E29" s="44"/>
      <c r="M29"/>
      <c r="O29"/>
      <c r="R29"/>
      <c r="S29"/>
      <c r="T29"/>
    </row>
    <row r="30" spans="2:30" ht="20.25" customHeight="1" x14ac:dyDescent="0.25">
      <c r="B30" s="48" t="s">
        <v>0</v>
      </c>
      <c r="C30" s="48"/>
      <c r="D30" s="48"/>
      <c r="E30" s="48"/>
      <c r="F30" s="42">
        <f>G8+G11+G14+G18+G22+G28+G20+G16</f>
        <v>61684.838709677417</v>
      </c>
      <c r="G30" s="43"/>
      <c r="H30" s="3"/>
      <c r="M30"/>
      <c r="O30"/>
      <c r="R30"/>
      <c r="S30"/>
      <c r="T30"/>
    </row>
    <row r="31" spans="2:30" ht="20.25" customHeight="1" x14ac:dyDescent="0.25">
      <c r="B31" s="46"/>
      <c r="C31" s="46"/>
      <c r="D31" s="46"/>
      <c r="E31" s="46"/>
      <c r="F31" s="46"/>
      <c r="G31" s="47"/>
      <c r="M31"/>
      <c r="O31"/>
      <c r="R31"/>
      <c r="S31"/>
      <c r="T31"/>
    </row>
    <row r="32" spans="2:30" ht="20.25" customHeight="1" x14ac:dyDescent="0.25">
      <c r="B32" s="48" t="s">
        <v>15</v>
      </c>
      <c r="C32" s="51"/>
      <c r="D32" s="31" t="s">
        <v>0</v>
      </c>
      <c r="E32" s="32"/>
      <c r="F32" s="14" t="s">
        <v>13</v>
      </c>
      <c r="G32" s="14"/>
      <c r="M32"/>
      <c r="O32"/>
      <c r="P32" s="37"/>
      <c r="R32"/>
      <c r="S32"/>
      <c r="T32"/>
    </row>
    <row r="33" spans="1:20" ht="20.25" customHeight="1" x14ac:dyDescent="0.35">
      <c r="A33" s="3"/>
      <c r="B33" s="16">
        <v>25</v>
      </c>
      <c r="C33" s="18">
        <f>F30*B33/100</f>
        <v>15421.209677419356</v>
      </c>
      <c r="D33" s="38">
        <f>F30+C33+I19</f>
        <v>77106.048387096773</v>
      </c>
      <c r="E33" s="39"/>
      <c r="F33" s="25">
        <f>D33/G5</f>
        <v>1.7134677419354838</v>
      </c>
      <c r="G33" s="24"/>
      <c r="M33"/>
      <c r="O33"/>
      <c r="P33" s="37"/>
      <c r="R33"/>
      <c r="S33"/>
      <c r="T33"/>
    </row>
    <row r="34" spans="1:20" ht="20.25" customHeight="1" x14ac:dyDescent="0.25">
      <c r="C34" s="15"/>
      <c r="F34" s="3"/>
      <c r="G34" s="3"/>
      <c r="M34"/>
      <c r="O34"/>
      <c r="R34"/>
      <c r="S34"/>
      <c r="T34" s="6"/>
    </row>
    <row r="35" spans="1:20" ht="20.25" customHeight="1" x14ac:dyDescent="0.25">
      <c r="M35"/>
      <c r="O35"/>
      <c r="P35" s="37"/>
      <c r="R35"/>
      <c r="S35"/>
      <c r="T35" s="6"/>
    </row>
    <row r="36" spans="1:20" s="3" customFormat="1" ht="20.25" customHeight="1" x14ac:dyDescent="0.25">
      <c r="A36"/>
      <c r="B36"/>
      <c r="C36"/>
      <c r="D36"/>
      <c r="E36"/>
      <c r="F36"/>
      <c r="G36"/>
      <c r="H36"/>
      <c r="K36"/>
      <c r="L36"/>
      <c r="M36"/>
      <c r="N36"/>
      <c r="O36"/>
      <c r="P36" s="37"/>
      <c r="Q36"/>
      <c r="R36"/>
      <c r="S36"/>
      <c r="T36" s="4"/>
    </row>
    <row r="37" spans="1:20" ht="20.25" customHeight="1" x14ac:dyDescent="0.25">
      <c r="B37" s="3"/>
      <c r="M37"/>
      <c r="O37"/>
      <c r="R37"/>
      <c r="S37"/>
      <c r="T37"/>
    </row>
    <row r="38" spans="1:20" ht="20.25" customHeight="1" x14ac:dyDescent="0.25">
      <c r="M38"/>
      <c r="O38"/>
      <c r="R38"/>
      <c r="S38"/>
      <c r="T38"/>
    </row>
    <row r="39" spans="1:20" ht="20.25" customHeight="1" x14ac:dyDescent="0.25">
      <c r="H39" s="3"/>
      <c r="M39"/>
      <c r="O39"/>
      <c r="R39"/>
      <c r="S39"/>
    </row>
    <row r="40" spans="1:20" ht="20.25" customHeight="1" x14ac:dyDescent="0.25">
      <c r="M40"/>
      <c r="O40"/>
      <c r="R40"/>
      <c r="S40"/>
    </row>
    <row r="41" spans="1:20" ht="20.25" customHeight="1" x14ac:dyDescent="0.25">
      <c r="D41" s="3"/>
      <c r="M41"/>
      <c r="O41"/>
      <c r="R41"/>
      <c r="S41"/>
    </row>
    <row r="42" spans="1:20" ht="20.25" customHeight="1" x14ac:dyDescent="0.25">
      <c r="A42" s="3"/>
      <c r="C42" s="3"/>
      <c r="E42" s="3"/>
      <c r="M42"/>
      <c r="O42"/>
      <c r="R42"/>
      <c r="S42"/>
    </row>
    <row r="43" spans="1:20" ht="20.25" customHeight="1" x14ac:dyDescent="0.25">
      <c r="F43" s="3"/>
      <c r="G43" s="3"/>
      <c r="M43"/>
      <c r="O43"/>
      <c r="R43"/>
      <c r="S43"/>
    </row>
    <row r="44" spans="1:20" ht="20.25" customHeight="1" x14ac:dyDescent="0.25">
      <c r="M44"/>
      <c r="O44"/>
      <c r="R44"/>
      <c r="S44"/>
    </row>
    <row r="45" spans="1:20" ht="20.25" customHeight="1" x14ac:dyDescent="0.25">
      <c r="M45"/>
      <c r="O45"/>
      <c r="P45" s="37"/>
      <c r="Q45" s="37"/>
      <c r="R45"/>
      <c r="S45"/>
    </row>
    <row r="46" spans="1:20" ht="20.25" customHeight="1" x14ac:dyDescent="0.25">
      <c r="B46" s="3"/>
      <c r="M46"/>
      <c r="O46"/>
      <c r="P46" s="37"/>
      <c r="Q46" s="37"/>
      <c r="R46"/>
      <c r="S46"/>
    </row>
    <row r="47" spans="1:20" ht="20.25" customHeight="1" x14ac:dyDescent="0.25">
      <c r="M47"/>
      <c r="O47"/>
      <c r="P47" s="37"/>
      <c r="Q47" s="37"/>
      <c r="R47"/>
      <c r="S47"/>
    </row>
    <row r="48" spans="1:20" ht="20.25" customHeight="1" x14ac:dyDescent="0.25">
      <c r="M48"/>
      <c r="O48"/>
      <c r="P48" s="37"/>
      <c r="Q48" s="37"/>
      <c r="R48"/>
      <c r="S48"/>
    </row>
    <row r="49" spans="13:19" ht="20.25" customHeight="1" x14ac:dyDescent="0.25">
      <c r="M49"/>
      <c r="O49"/>
      <c r="P49" s="37"/>
      <c r="Q49" s="37"/>
      <c r="R49"/>
      <c r="S49"/>
    </row>
    <row r="50" spans="13:19" ht="20.25" customHeight="1" x14ac:dyDescent="0.25">
      <c r="M50"/>
      <c r="O50"/>
      <c r="R50"/>
      <c r="S50"/>
    </row>
    <row r="51" spans="13:19" ht="20.25" customHeight="1" x14ac:dyDescent="0.25">
      <c r="M51"/>
      <c r="O51"/>
      <c r="P51" s="37"/>
      <c r="Q51" s="37"/>
      <c r="R51"/>
      <c r="S51"/>
    </row>
    <row r="52" spans="13:19" ht="20.25" customHeight="1" x14ac:dyDescent="0.25">
      <c r="M52"/>
      <c r="O52"/>
      <c r="P52" s="37"/>
      <c r="Q52" s="37"/>
      <c r="R52"/>
      <c r="S52"/>
    </row>
    <row r="53" spans="13:19" ht="20.25" customHeight="1" x14ac:dyDescent="0.25">
      <c r="M53"/>
      <c r="O53"/>
      <c r="R53"/>
      <c r="S53"/>
    </row>
    <row r="54" spans="13:19" ht="20.25" customHeight="1" x14ac:dyDescent="0.25">
      <c r="M54"/>
      <c r="O54"/>
      <c r="R54"/>
      <c r="S54"/>
    </row>
    <row r="55" spans="13:19" ht="20.25" customHeight="1" x14ac:dyDescent="0.25">
      <c r="M55"/>
      <c r="O55"/>
      <c r="R55"/>
      <c r="S55"/>
    </row>
    <row r="56" spans="13:19" ht="20.25" customHeight="1" x14ac:dyDescent="0.25">
      <c r="M56"/>
      <c r="O56"/>
      <c r="R56"/>
      <c r="S56"/>
    </row>
    <row r="57" spans="13:19" ht="20.25" customHeight="1" x14ac:dyDescent="0.25">
      <c r="M57"/>
      <c r="O57"/>
      <c r="R57"/>
      <c r="S57"/>
    </row>
    <row r="58" spans="13:19" ht="20.25" customHeight="1" x14ac:dyDescent="0.25">
      <c r="M58"/>
      <c r="O58"/>
      <c r="R58"/>
      <c r="S58"/>
    </row>
    <row r="59" spans="13:19" ht="20.25" customHeight="1" x14ac:dyDescent="0.25">
      <c r="M59"/>
      <c r="O59"/>
      <c r="R59"/>
      <c r="S59"/>
    </row>
    <row r="60" spans="13:19" ht="20.25" customHeight="1" x14ac:dyDescent="0.25">
      <c r="M60"/>
      <c r="O60"/>
      <c r="R60"/>
      <c r="S60"/>
    </row>
    <row r="61" spans="13:19" ht="20.25" customHeight="1" x14ac:dyDescent="0.25">
      <c r="M61"/>
      <c r="O61"/>
      <c r="R61"/>
      <c r="S61"/>
    </row>
    <row r="62" spans="13:19" ht="20.25" customHeight="1" x14ac:dyDescent="0.25">
      <c r="O62"/>
      <c r="R62"/>
      <c r="S62"/>
    </row>
    <row r="63" spans="13:19" ht="20.25" customHeight="1" x14ac:dyDescent="0.25">
      <c r="O63"/>
      <c r="R63"/>
      <c r="S63"/>
    </row>
    <row r="64" spans="13:19" ht="20.25" customHeight="1" x14ac:dyDescent="0.25">
      <c r="O64"/>
    </row>
    <row r="65" spans="15:15" ht="20.25" customHeight="1" x14ac:dyDescent="0.25">
      <c r="O65"/>
    </row>
    <row r="66" spans="15:15" ht="20.25" customHeight="1" x14ac:dyDescent="0.25">
      <c r="O66"/>
    </row>
    <row r="67" spans="15:15" ht="20.25" customHeight="1" x14ac:dyDescent="0.25">
      <c r="O67"/>
    </row>
    <row r="68" spans="15:15" ht="20.25" customHeight="1" x14ac:dyDescent="0.25">
      <c r="O68"/>
    </row>
    <row r="69" spans="15:15" ht="20.25" customHeight="1" x14ac:dyDescent="0.25">
      <c r="O69"/>
    </row>
    <row r="70" spans="15:15" ht="20.25" customHeight="1" x14ac:dyDescent="0.25">
      <c r="O70"/>
    </row>
    <row r="71" spans="15:15" ht="20.25" customHeight="1" x14ac:dyDescent="0.25">
      <c r="O71"/>
    </row>
    <row r="72" spans="15:15" ht="20.25" customHeight="1" x14ac:dyDescent="0.25">
      <c r="O72"/>
    </row>
    <row r="73" spans="15:15" ht="20.25" customHeight="1" x14ac:dyDescent="0.25">
      <c r="O73"/>
    </row>
    <row r="74" spans="15:15" ht="20.25" customHeight="1" x14ac:dyDescent="0.25">
      <c r="O74"/>
    </row>
    <row r="75" spans="15:15" ht="20.25" customHeight="1" x14ac:dyDescent="0.25">
      <c r="O75"/>
    </row>
    <row r="76" spans="15:15" ht="20.25" customHeight="1" x14ac:dyDescent="0.25">
      <c r="O76"/>
    </row>
    <row r="77" spans="15:15" ht="20.25" customHeight="1" x14ac:dyDescent="0.25">
      <c r="O77"/>
    </row>
    <row r="78" spans="15:15" ht="20.25" customHeight="1" x14ac:dyDescent="0.25">
      <c r="O78"/>
    </row>
    <row r="79" spans="15:15" ht="20.25" customHeight="1" x14ac:dyDescent="0.25">
      <c r="O79"/>
    </row>
    <row r="80" spans="15:15" ht="20.25" customHeight="1" x14ac:dyDescent="0.25">
      <c r="O80"/>
    </row>
    <row r="81" spans="15:15" ht="20.25" customHeight="1" x14ac:dyDescent="0.25">
      <c r="O81"/>
    </row>
    <row r="82" spans="15:15" ht="20.25" customHeight="1" x14ac:dyDescent="0.25">
      <c r="O82"/>
    </row>
    <row r="83" spans="15:15" ht="20.25" customHeight="1" x14ac:dyDescent="0.25">
      <c r="O83"/>
    </row>
    <row r="84" spans="15:15" ht="20.25" customHeight="1" x14ac:dyDescent="0.25">
      <c r="O84"/>
    </row>
    <row r="85" spans="15:15" ht="20.25" customHeight="1" x14ac:dyDescent="0.25">
      <c r="O85"/>
    </row>
    <row r="86" spans="15:15" ht="20.25" customHeight="1" x14ac:dyDescent="0.25">
      <c r="O86"/>
    </row>
    <row r="87" spans="15:15" ht="20.25" customHeight="1" x14ac:dyDescent="0.25">
      <c r="O87"/>
    </row>
    <row r="88" spans="15:15" ht="20.25" customHeight="1" x14ac:dyDescent="0.25">
      <c r="O88"/>
    </row>
    <row r="89" spans="15:15" ht="20.25" customHeight="1" x14ac:dyDescent="0.25">
      <c r="O89"/>
    </row>
  </sheetData>
  <mergeCells count="56">
    <mergeCell ref="B2:G3"/>
    <mergeCell ref="B11:C11"/>
    <mergeCell ref="B12:C12"/>
    <mergeCell ref="B14:C14"/>
    <mergeCell ref="B18:C18"/>
    <mergeCell ref="B8:C8"/>
    <mergeCell ref="B9:C9"/>
    <mergeCell ref="D4:E4"/>
    <mergeCell ref="B4:C4"/>
    <mergeCell ref="B5:C5"/>
    <mergeCell ref="B10:G10"/>
    <mergeCell ref="B6:C6"/>
    <mergeCell ref="B7:C7"/>
    <mergeCell ref="F6:F9"/>
    <mergeCell ref="B16:C16"/>
    <mergeCell ref="D6:E6"/>
    <mergeCell ref="D33:E33"/>
    <mergeCell ref="D12:E12"/>
    <mergeCell ref="G11:G12"/>
    <mergeCell ref="F30:G30"/>
    <mergeCell ref="B17:G17"/>
    <mergeCell ref="B21:G21"/>
    <mergeCell ref="B31:G31"/>
    <mergeCell ref="B22:C22"/>
    <mergeCell ref="B30:E30"/>
    <mergeCell ref="D22:E22"/>
    <mergeCell ref="B13:G13"/>
    <mergeCell ref="B32:C32"/>
    <mergeCell ref="D18:E18"/>
    <mergeCell ref="B29:E29"/>
    <mergeCell ref="B20:C20"/>
    <mergeCell ref="B26:C26"/>
    <mergeCell ref="P49:Q49"/>
    <mergeCell ref="P51:Q51"/>
    <mergeCell ref="P52:Q52"/>
    <mergeCell ref="P35:P36"/>
    <mergeCell ref="P32:P33"/>
    <mergeCell ref="P45:Q45"/>
    <mergeCell ref="P46:Q46"/>
    <mergeCell ref="P47:Q47"/>
    <mergeCell ref="P48:Q48"/>
    <mergeCell ref="L2:S2"/>
    <mergeCell ref="M3:P3"/>
    <mergeCell ref="R3:S3"/>
    <mergeCell ref="M4:N4"/>
    <mergeCell ref="R4:S4"/>
    <mergeCell ref="D7:E7"/>
    <mergeCell ref="D8:E8"/>
    <mergeCell ref="D9:E9"/>
    <mergeCell ref="D11:E11"/>
    <mergeCell ref="D32:E32"/>
    <mergeCell ref="B27:G27"/>
    <mergeCell ref="B28:C28"/>
    <mergeCell ref="G8:G9"/>
    <mergeCell ref="D20:E20"/>
    <mergeCell ref="B24:C2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Master</dc:creator>
  <cp:lastModifiedBy>SERVER</cp:lastModifiedBy>
  <dcterms:created xsi:type="dcterms:W3CDTF">2021-05-26T05:58:42Z</dcterms:created>
  <dcterms:modified xsi:type="dcterms:W3CDTF">2026-09-16T12:18:31Z</dcterms:modified>
</cp:coreProperties>
</file>